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oaa\excel course\module 7\"/>
    </mc:Choice>
  </mc:AlternateContent>
  <xr:revisionPtr revIDLastSave="0" documentId="13_ncr:1_{41C6CB35-DE2F-4AD1-AF57-284FDBAB076B}" xr6:coauthVersionLast="47" xr6:coauthVersionMax="47" xr10:uidLastSave="{00000000-0000-0000-0000-000000000000}"/>
  <bookViews>
    <workbookView xWindow="-120" yWindow="-120" windowWidth="20730" windowHeight="11160" activeTab="2" xr2:uid="{B3742117-0E27-4CC9-83DC-BA711842A58A}"/>
  </bookViews>
  <sheets>
    <sheet name="movies" sheetId="4" r:id="rId1"/>
    <sheet name="pivot" sheetId="5" r:id="rId2"/>
    <sheet name="dashboard" sheetId="1" r:id="rId3"/>
  </sheets>
  <definedNames>
    <definedName name="ExternalData_2" localSheetId="0" hidden="1">movies!$A$1:$J$251</definedName>
    <definedName name="Slicer_Age_Rating">#N/A</definedName>
    <definedName name="Slicer_Century">#N/A</definedName>
    <definedName name="Slicer_Duration_Level">#N/A</definedName>
    <definedName name="Slicer_Reals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2" i="4"/>
  <c r="D23" i="4"/>
  <c r="D24" i="4"/>
  <c r="D25" i="4"/>
  <c r="D26" i="4"/>
  <c r="D27" i="4"/>
  <c r="D28" i="4"/>
  <c r="D29" i="4"/>
  <c r="D30" i="4"/>
  <c r="D31" i="4"/>
  <c r="D36" i="4"/>
  <c r="D32" i="4"/>
  <c r="D37" i="4"/>
  <c r="D38" i="4"/>
  <c r="D39" i="4"/>
  <c r="D40" i="4"/>
  <c r="D41" i="4"/>
  <c r="D42" i="4"/>
  <c r="D43" i="4"/>
  <c r="D44" i="4"/>
  <c r="D33" i="4"/>
  <c r="D45" i="4"/>
  <c r="D46" i="4"/>
  <c r="D47" i="4"/>
  <c r="D48" i="4"/>
  <c r="D49" i="4"/>
  <c r="D50" i="4"/>
  <c r="D51" i="4"/>
  <c r="D52" i="4"/>
  <c r="D53" i="4"/>
  <c r="D54" i="4"/>
  <c r="D55" i="4"/>
  <c r="D56" i="4"/>
  <c r="D57" i="4"/>
  <c r="D58" i="4"/>
  <c r="D60" i="4"/>
  <c r="D61" i="4"/>
  <c r="D62" i="4"/>
  <c r="D63" i="4"/>
  <c r="D64" i="4"/>
  <c r="D65" i="4"/>
  <c r="D66" i="4"/>
  <c r="D67" i="4"/>
  <c r="D68" i="4"/>
  <c r="D69" i="4"/>
  <c r="D70" i="4"/>
  <c r="D71" i="4"/>
  <c r="D72" i="4"/>
  <c r="D73" i="4"/>
  <c r="D74" i="4"/>
  <c r="D21" i="4"/>
  <c r="D75" i="4"/>
  <c r="D76" i="4"/>
  <c r="D77" i="4"/>
  <c r="D78" i="4"/>
  <c r="D79" i="4"/>
  <c r="D85" i="4"/>
  <c r="D86" i="4"/>
  <c r="D87" i="4"/>
  <c r="D88" i="4"/>
  <c r="D80" i="4"/>
  <c r="D81" i="4"/>
  <c r="D89" i="4"/>
  <c r="D90" i="4"/>
  <c r="D91" i="4"/>
  <c r="D82" i="4"/>
  <c r="D92" i="4"/>
  <c r="D83" i="4"/>
  <c r="D93" i="4"/>
  <c r="D94" i="4"/>
  <c r="D95" i="4"/>
  <c r="D96" i="4"/>
  <c r="D97" i="4"/>
  <c r="D98" i="4"/>
  <c r="D99" i="4"/>
  <c r="D100" i="4"/>
  <c r="D101" i="4"/>
  <c r="D102" i="4"/>
  <c r="D103" i="4"/>
  <c r="D104" i="4"/>
  <c r="D105" i="4"/>
  <c r="D106" i="4"/>
  <c r="D107" i="4"/>
  <c r="D108" i="4"/>
  <c r="D109" i="4"/>
  <c r="D110" i="4"/>
  <c r="D111" i="4"/>
  <c r="D112" i="4"/>
  <c r="D123" i="4"/>
  <c r="D124" i="4"/>
  <c r="D125" i="4"/>
  <c r="D113" i="4"/>
  <c r="D114" i="4"/>
  <c r="D115" i="4"/>
  <c r="D116" i="4"/>
  <c r="D126" i="4"/>
  <c r="D127" i="4"/>
  <c r="D128" i="4"/>
  <c r="D129" i="4"/>
  <c r="D117" i="4"/>
  <c r="D130" i="4"/>
  <c r="D131" i="4"/>
  <c r="D118" i="4"/>
  <c r="D132" i="4"/>
  <c r="D133" i="4"/>
  <c r="D134" i="4"/>
  <c r="D119" i="4"/>
  <c r="D135" i="4"/>
  <c r="D136" i="4"/>
  <c r="D137" i="4"/>
  <c r="D138" i="4"/>
  <c r="D120" i="4"/>
  <c r="D139" i="4"/>
  <c r="D140" i="4"/>
  <c r="D141" i="4"/>
  <c r="D121" i="4"/>
  <c r="D142" i="4"/>
  <c r="D143" i="4"/>
  <c r="D144" i="4"/>
  <c r="D145" i="4"/>
  <c r="D146" i="4"/>
  <c r="D147" i="4"/>
  <c r="D34" i="4"/>
  <c r="D148" i="4"/>
  <c r="D149" i="4"/>
  <c r="D150" i="4"/>
  <c r="D151" i="4"/>
  <c r="D152" i="4"/>
  <c r="D153" i="4"/>
  <c r="D154" i="4"/>
  <c r="D155" i="4"/>
  <c r="D156" i="4"/>
  <c r="D157" i="4"/>
  <c r="D158" i="4"/>
  <c r="D159" i="4"/>
  <c r="D160" i="4"/>
  <c r="D161" i="4"/>
  <c r="D162" i="4"/>
  <c r="D163" i="4"/>
  <c r="D164" i="4"/>
  <c r="D84" i="4"/>
  <c r="D165" i="4"/>
  <c r="D166" i="4"/>
  <c r="D167" i="4"/>
  <c r="D168" i="4"/>
  <c r="D169" i="4"/>
  <c r="D170" i="4"/>
  <c r="D179" i="4"/>
  <c r="D180" i="4"/>
  <c r="D181" i="4"/>
  <c r="D182" i="4"/>
  <c r="D183" i="4"/>
  <c r="D59" i="4"/>
  <c r="D184" i="4"/>
  <c r="D185" i="4"/>
  <c r="D186" i="4"/>
  <c r="D187" i="4"/>
  <c r="D188" i="4"/>
  <c r="D189" i="4"/>
  <c r="D190" i="4"/>
  <c r="D191" i="4"/>
  <c r="D171" i="4"/>
  <c r="D192" i="4"/>
  <c r="D193" i="4"/>
  <c r="D194" i="4"/>
  <c r="D195" i="4"/>
  <c r="D196" i="4"/>
  <c r="D197" i="4"/>
  <c r="D198" i="4"/>
  <c r="D172" i="4"/>
  <c r="D199" i="4"/>
  <c r="D200" i="4"/>
  <c r="D201" i="4"/>
  <c r="D202" i="4"/>
  <c r="D203" i="4"/>
  <c r="D173" i="4"/>
  <c r="D204" i="4"/>
  <c r="D205" i="4"/>
  <c r="D206" i="4"/>
  <c r="D207" i="4"/>
  <c r="D208" i="4"/>
  <c r="D209" i="4"/>
  <c r="D210" i="4"/>
  <c r="D211" i="4"/>
  <c r="D212" i="4"/>
  <c r="D213" i="4"/>
  <c r="D214" i="4"/>
  <c r="D215" i="4"/>
  <c r="D216" i="4"/>
  <c r="D217" i="4"/>
  <c r="D218" i="4"/>
  <c r="D219" i="4"/>
  <c r="D220" i="4"/>
  <c r="D221" i="4"/>
  <c r="D222" i="4"/>
  <c r="D223" i="4"/>
  <c r="D224" i="4"/>
  <c r="D225" i="4"/>
  <c r="D226" i="4"/>
  <c r="D227" i="4"/>
  <c r="D122" i="4"/>
  <c r="D228" i="4"/>
  <c r="D229" i="4"/>
  <c r="D230" i="4"/>
  <c r="D35" i="4"/>
  <c r="D231" i="4"/>
  <c r="D232" i="4"/>
  <c r="D233" i="4"/>
  <c r="D234" i="4"/>
  <c r="D235" i="4"/>
  <c r="D236" i="4"/>
  <c r="D237" i="4"/>
  <c r="D251" i="4"/>
  <c r="D238" i="4"/>
  <c r="D174" i="4"/>
  <c r="D239" i="4"/>
  <c r="D240" i="4"/>
  <c r="D241" i="4"/>
  <c r="D242" i="4"/>
  <c r="D243" i="4"/>
  <c r="D244" i="4"/>
  <c r="D175" i="4"/>
  <c r="D245" i="4"/>
  <c r="D246" i="4"/>
  <c r="D247" i="4"/>
  <c r="D176" i="4"/>
  <c r="D248" i="4"/>
  <c r="D249" i="4"/>
  <c r="D177" i="4"/>
  <c r="D250" i="4"/>
  <c r="D178" i="4"/>
  <c r="D2" i="4"/>
  <c r="H2" i="5"/>
  <c r="G2" i="5"/>
  <c r="F2" i="5"/>
  <c r="E2" i="5"/>
  <c r="C2" i="5"/>
  <c r="D2"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99E683-30FB-4099-94DC-F7EA2078CD4D}" keepAlive="1" name="Query - movies" description="Connection to the 'movies' query in the workbook." type="5" refreshedVersion="8" background="1" saveData="1">
    <dbPr connection="Provider=Microsoft.Mashup.OleDb.1;Data Source=$Workbook$;Location=movies;Extended Properties=&quot;&quot;" command="SELECT * FROM [movies]"/>
  </connection>
</connections>
</file>

<file path=xl/sharedStrings.xml><?xml version="1.0" encoding="utf-8"?>
<sst xmlns="http://schemas.openxmlformats.org/spreadsheetml/2006/main" count="1058" uniqueCount="387">
  <si>
    <t>The Shawshank Redemption</t>
  </si>
  <si>
    <t>2h 22m</t>
  </si>
  <si>
    <t>Rate</t>
  </si>
  <si>
    <t>R</t>
  </si>
  <si>
    <t>The Godfather</t>
  </si>
  <si>
    <t>2h 55m</t>
  </si>
  <si>
    <t>The Dark Knight</t>
  </si>
  <si>
    <t>2h 32m</t>
  </si>
  <si>
    <t>PG-13</t>
  </si>
  <si>
    <t>The Godfather Part II</t>
  </si>
  <si>
    <t>3h 22m</t>
  </si>
  <si>
    <t>12 Angry Men</t>
  </si>
  <si>
    <t>1h 36m</t>
  </si>
  <si>
    <t>Approved</t>
  </si>
  <si>
    <t>The Lord of the Rings: The Return of the King</t>
  </si>
  <si>
    <t>3h 21m</t>
  </si>
  <si>
    <t>Schindler's List</t>
  </si>
  <si>
    <t>3h 15m</t>
  </si>
  <si>
    <t>The Lord of the Rings: The Fellowship of the Ring</t>
  </si>
  <si>
    <t>2h 58m</t>
  </si>
  <si>
    <t>Pulp Fiction</t>
  </si>
  <si>
    <t>2h 34m</t>
  </si>
  <si>
    <t>The Good, the Bad and the Ugly</t>
  </si>
  <si>
    <t>The Lord of the Rings: The Two Towers</t>
  </si>
  <si>
    <t>2h 59m</t>
  </si>
  <si>
    <t>Forrest Gump</t>
  </si>
  <si>
    <t>Fight Club</t>
  </si>
  <si>
    <t>2h 19m</t>
  </si>
  <si>
    <t>Inception</t>
  </si>
  <si>
    <t>2h 28m</t>
  </si>
  <si>
    <t>Star Wars: Episode V - The Empire Strikes Back</t>
  </si>
  <si>
    <t>2h 4m</t>
  </si>
  <si>
    <t>PG</t>
  </si>
  <si>
    <t>The Matrix</t>
  </si>
  <si>
    <t>2h 16m</t>
  </si>
  <si>
    <t>Goodfellas</t>
  </si>
  <si>
    <t>2h 25m</t>
  </si>
  <si>
    <t>Interstellar</t>
  </si>
  <si>
    <t>2h 49m</t>
  </si>
  <si>
    <t>One Flew Over the Cuckoo's Nest</t>
  </si>
  <si>
    <t>2h 13m</t>
  </si>
  <si>
    <t>Se7en</t>
  </si>
  <si>
    <t>2h 7m</t>
  </si>
  <si>
    <t>It's a Wonderful Life</t>
  </si>
  <si>
    <t>2h 10m</t>
  </si>
  <si>
    <t>The Silence of the Lambs</t>
  </si>
  <si>
    <t>1h 58m</t>
  </si>
  <si>
    <t>Seven Samurai</t>
  </si>
  <si>
    <t>3h 27m</t>
  </si>
  <si>
    <t>Not Rated</t>
  </si>
  <si>
    <t>Saving Private Ryan</t>
  </si>
  <si>
    <t>The Green Mile</t>
  </si>
  <si>
    <t>3h 9m</t>
  </si>
  <si>
    <t>City of God</t>
  </si>
  <si>
    <t>Life Is Beautiful</t>
  </si>
  <si>
    <t>1h 56m</t>
  </si>
  <si>
    <t>Terminator 2: Judgment Day</t>
  </si>
  <si>
    <t>2h 17m</t>
  </si>
  <si>
    <t>Star Wars: Episode IV - A New Hope</t>
  </si>
  <si>
    <t>2h 1m</t>
  </si>
  <si>
    <t>Back to the Future</t>
  </si>
  <si>
    <t>Spirited Away</t>
  </si>
  <si>
    <t>The Pianist</t>
  </si>
  <si>
    <t>2h 30m</t>
  </si>
  <si>
    <t>Gladiator</t>
  </si>
  <si>
    <t>2h 35m</t>
  </si>
  <si>
    <t>Parasite</t>
  </si>
  <si>
    <t>2h 12m</t>
  </si>
  <si>
    <t>Psycho</t>
  </si>
  <si>
    <t>1h 49m</t>
  </si>
  <si>
    <t>The Lion King</t>
  </si>
  <si>
    <t>1h 28m</t>
  </si>
  <si>
    <t>G</t>
  </si>
  <si>
    <t>Grave of the Fireflies</t>
  </si>
  <si>
    <t>The Departed</t>
  </si>
  <si>
    <t>2h 31m</t>
  </si>
  <si>
    <t>Whiplash</t>
  </si>
  <si>
    <t>1h 46m</t>
  </si>
  <si>
    <t>Harakiri</t>
  </si>
  <si>
    <t>The Prestige</t>
  </si>
  <si>
    <t>American History X</t>
  </si>
  <si>
    <t>1h 59m</t>
  </si>
  <si>
    <t>Léon: The Professional</t>
  </si>
  <si>
    <t>1h 50m</t>
  </si>
  <si>
    <t>Spider-Man: Across the Spider-Verse</t>
  </si>
  <si>
    <t>2h 20m</t>
  </si>
  <si>
    <t>Casablanca</t>
  </si>
  <si>
    <t>1h 42m</t>
  </si>
  <si>
    <t>Cinema Paradiso</t>
  </si>
  <si>
    <t>2h 54m</t>
  </si>
  <si>
    <t>The Intouchables</t>
  </si>
  <si>
    <t>1h 52m</t>
  </si>
  <si>
    <t>The Usual Suspects</t>
  </si>
  <si>
    <t>Alien</t>
  </si>
  <si>
    <t>1h 57m</t>
  </si>
  <si>
    <t>Modern Times</t>
  </si>
  <si>
    <t>1h 27m</t>
  </si>
  <si>
    <t>Rear Window</t>
  </si>
  <si>
    <t>Django Unchained</t>
  </si>
  <si>
    <t>2h 45m</t>
  </si>
  <si>
    <t>Once Upon a Time in the West</t>
  </si>
  <si>
    <t>2h 46m</t>
  </si>
  <si>
    <t>City Lights</t>
  </si>
  <si>
    <t>Apocalypse Now</t>
  </si>
  <si>
    <t>2h 27m</t>
  </si>
  <si>
    <t>WALL·E</t>
  </si>
  <si>
    <t>1h 38m</t>
  </si>
  <si>
    <t>Memento</t>
  </si>
  <si>
    <t>1h 53m</t>
  </si>
  <si>
    <t>Dune: Part Two</t>
  </si>
  <si>
    <t>Raiders of the Lost Ark</t>
  </si>
  <si>
    <t>1h 55m</t>
  </si>
  <si>
    <t>Avengers: Infinity War</t>
  </si>
  <si>
    <t>2h 29m</t>
  </si>
  <si>
    <t>The Lives of Others</t>
  </si>
  <si>
    <t>Sunset Boulevard</t>
  </si>
  <si>
    <t>Spider-Man: Into the Spider-Verse</t>
  </si>
  <si>
    <t>Witness for the Prosecution</t>
  </si>
  <si>
    <t>Paths of Glory</t>
  </si>
  <si>
    <t>The Shining</t>
  </si>
  <si>
    <t>2h 26m</t>
  </si>
  <si>
    <t>The Great Dictator</t>
  </si>
  <si>
    <t>2h 5m</t>
  </si>
  <si>
    <t>Inglourious Basterds</t>
  </si>
  <si>
    <t>2h 33m</t>
  </si>
  <si>
    <t>Aliens</t>
  </si>
  <si>
    <t>12th Fail</t>
  </si>
  <si>
    <t>The Dark Knight Rises</t>
  </si>
  <si>
    <t>2h 44m</t>
  </si>
  <si>
    <t>High and Low</t>
  </si>
  <si>
    <t>2h 23m</t>
  </si>
  <si>
    <t>Coco</t>
  </si>
  <si>
    <t>1h 45m</t>
  </si>
  <si>
    <t>Avengers: Endgame</t>
  </si>
  <si>
    <t>3h 1m</t>
  </si>
  <si>
    <t>Amadeus</t>
  </si>
  <si>
    <t>2h 40m</t>
  </si>
  <si>
    <t>Good Will Hunting</t>
  </si>
  <si>
    <t>2h 6m</t>
  </si>
  <si>
    <t>Toy Story</t>
  </si>
  <si>
    <t>1h 21m</t>
  </si>
  <si>
    <t>Oldboy</t>
  </si>
  <si>
    <t>2h</t>
  </si>
  <si>
    <t>Dr. Strangelove or: How I Learned to Stop Worrying and Love the Bomb</t>
  </si>
  <si>
    <t>1h 35m</t>
  </si>
  <si>
    <t>Das Boot</t>
  </si>
  <si>
    <t>Your Name.</t>
  </si>
  <si>
    <t>Braveheart</t>
  </si>
  <si>
    <t>Princess Mononoke</t>
  </si>
  <si>
    <t>American Beauty</t>
  </si>
  <si>
    <t>2h 2m</t>
  </si>
  <si>
    <t>3 Idiots</t>
  </si>
  <si>
    <t>2h 50m</t>
  </si>
  <si>
    <t>Joker</t>
  </si>
  <si>
    <t>Capernaum</t>
  </si>
  <si>
    <t>Once Upon a Time in America</t>
  </si>
  <si>
    <t>3h 49m</t>
  </si>
  <si>
    <t>Singin' in the Rain</t>
  </si>
  <si>
    <t>1h 43m</t>
  </si>
  <si>
    <t>Come and See</t>
  </si>
  <si>
    <t>Requiem for a Dream</t>
  </si>
  <si>
    <t>NC-17</t>
  </si>
  <si>
    <t>Star Wars: Episode VI - Return of the Jedi</t>
  </si>
  <si>
    <t>2h 11m</t>
  </si>
  <si>
    <t>Toy Story 3</t>
  </si>
  <si>
    <t>The Hunt</t>
  </si>
  <si>
    <t>Ikiru</t>
  </si>
  <si>
    <t>Eternal Sunshine of the Spotless Mind</t>
  </si>
  <si>
    <t>1h 48m</t>
  </si>
  <si>
    <t>Incendies</t>
  </si>
  <si>
    <t>The Apartment</t>
  </si>
  <si>
    <t>Lawrence of Arabia</t>
  </si>
  <si>
    <t>3h 47m</t>
  </si>
  <si>
    <t>2001: A Space Odyssey</t>
  </si>
  <si>
    <t>Reservoir Dogs</t>
  </si>
  <si>
    <t>1h 39m</t>
  </si>
  <si>
    <t>Scarface</t>
  </si>
  <si>
    <t>Heat</t>
  </si>
  <si>
    <t>Double Indemnity</t>
  </si>
  <si>
    <t>1h 47m</t>
  </si>
  <si>
    <t>Up</t>
  </si>
  <si>
    <t>North by Northwest</t>
  </si>
  <si>
    <t>M</t>
  </si>
  <si>
    <t>Passed</t>
  </si>
  <si>
    <t>Full Metal Jacket</t>
  </si>
  <si>
    <t>Citizen Kane</t>
  </si>
  <si>
    <t>Vertigo</t>
  </si>
  <si>
    <t>2h 8m</t>
  </si>
  <si>
    <t>Amélie</t>
  </si>
  <si>
    <t>Like Stars on Earth</t>
  </si>
  <si>
    <t>2h 42m</t>
  </si>
  <si>
    <t>A Separation</t>
  </si>
  <si>
    <t>2h 3m</t>
  </si>
  <si>
    <t>To Kill a Mockingbird</t>
  </si>
  <si>
    <t>2h 9m</t>
  </si>
  <si>
    <t>Die Hard</t>
  </si>
  <si>
    <t>Indiana Jones and the Last Crusade</t>
  </si>
  <si>
    <t>The Sting</t>
  </si>
  <si>
    <t>A Clockwork Orange</t>
  </si>
  <si>
    <t>Metropolis</t>
  </si>
  <si>
    <t>Snatch</t>
  </si>
  <si>
    <t>1917</t>
  </si>
  <si>
    <t>Oppenheimer</t>
  </si>
  <si>
    <t>3h</t>
  </si>
  <si>
    <t>L.A. Confidential</t>
  </si>
  <si>
    <t>2h 18m</t>
  </si>
  <si>
    <t>Downfall</t>
  </si>
  <si>
    <t>2h 36m</t>
  </si>
  <si>
    <t>Bicycle Thieves</t>
  </si>
  <si>
    <t>1h 29m</t>
  </si>
  <si>
    <t>Dangal</t>
  </si>
  <si>
    <t>2h 41m</t>
  </si>
  <si>
    <t>The Wolf of Wall Street</t>
  </si>
  <si>
    <t>Green Book</t>
  </si>
  <si>
    <t>The Truman Show</t>
  </si>
  <si>
    <t>Batman Begins</t>
  </si>
  <si>
    <t>Hamilton</t>
  </si>
  <si>
    <t>Taxi Driver</t>
  </si>
  <si>
    <t>1h 54m</t>
  </si>
  <si>
    <t>For a Few Dollars More</t>
  </si>
  <si>
    <t>Shutter Island</t>
  </si>
  <si>
    <t>Judgment at Nuremberg</t>
  </si>
  <si>
    <t>Some Like It Hot</t>
  </si>
  <si>
    <t>Jurassic Park</t>
  </si>
  <si>
    <t>One Battle After Another</t>
  </si>
  <si>
    <t>There Will Be Blood</t>
  </si>
  <si>
    <t>2h 38m</t>
  </si>
  <si>
    <t>The Kid</t>
  </si>
  <si>
    <t>1h 8m</t>
  </si>
  <si>
    <t>The Father</t>
  </si>
  <si>
    <t>1h 37m</t>
  </si>
  <si>
    <t>The Chaos Class Failed the Class</t>
  </si>
  <si>
    <t>All About Eve</t>
  </si>
  <si>
    <t>The Sixth Sense</t>
  </si>
  <si>
    <t>Ran</t>
  </si>
  <si>
    <t>Casino</t>
  </si>
  <si>
    <t>No Country for Old Men</t>
  </si>
  <si>
    <t>The Thing</t>
  </si>
  <si>
    <t>Top Gun: Maverick</t>
  </si>
  <si>
    <t>Unforgiven</t>
  </si>
  <si>
    <t>Pan's Labyrinth</t>
  </si>
  <si>
    <t>Kill Bill: Vol. 1</t>
  </si>
  <si>
    <t>1h 51m</t>
  </si>
  <si>
    <t>Prisoners</t>
  </si>
  <si>
    <t>A Beautiful Mind</t>
  </si>
  <si>
    <t>2h 15m</t>
  </si>
  <si>
    <t>The Treasure of the Sierra Madre</t>
  </si>
  <si>
    <t>Howl's Moving Castle</t>
  </si>
  <si>
    <t>Finding Nemo</t>
  </si>
  <si>
    <t>1h 40m</t>
  </si>
  <si>
    <t>Yojimbo</t>
  </si>
  <si>
    <t>The Great Escape</t>
  </si>
  <si>
    <t>2h 52m</t>
  </si>
  <si>
    <t>The Best of Youth</t>
  </si>
  <si>
    <t>6h 14m</t>
  </si>
  <si>
    <t>Monty Python and the Holy Grail</t>
  </si>
  <si>
    <t>1h 31m</t>
  </si>
  <si>
    <t>The Elephant Man</t>
  </si>
  <si>
    <t>Klaus</t>
  </si>
  <si>
    <t>Dial M for Murder</t>
  </si>
  <si>
    <t>Gone with the Wind</t>
  </si>
  <si>
    <t>3h 58m</t>
  </si>
  <si>
    <t>The Secret in Their Eyes</t>
  </si>
  <si>
    <t>Chinatown</t>
  </si>
  <si>
    <t>Lock, Stock and Two Smoking Barrels</t>
  </si>
  <si>
    <t>V for Vendetta</t>
  </si>
  <si>
    <t>Rashomon</t>
  </si>
  <si>
    <t>Inside Out</t>
  </si>
  <si>
    <t>Demon Slayer: Kimetsu no Yaiba- The Movie - Infinity Castle</t>
  </si>
  <si>
    <t>Catch Me If You Can</t>
  </si>
  <si>
    <t>2h 21m</t>
  </si>
  <si>
    <t>Three Billboards Outside Ebbing, Missouri</t>
  </si>
  <si>
    <t>Trainspotting</t>
  </si>
  <si>
    <t>1h 33m</t>
  </si>
  <si>
    <t>The Bridge on the River Kwai</t>
  </si>
  <si>
    <t>Harry Potter and the Deathly Hallows: Part 2</t>
  </si>
  <si>
    <t>Raging Bull</t>
  </si>
  <si>
    <t>Fargo</t>
  </si>
  <si>
    <t>Warrior</t>
  </si>
  <si>
    <t>The Wild Robot</t>
  </si>
  <si>
    <t>Dead Poets Society</t>
  </si>
  <si>
    <t>Million Dollar Baby</t>
  </si>
  <si>
    <t>Ben-Hur</t>
  </si>
  <si>
    <t>3h 32m</t>
  </si>
  <si>
    <t>Mad Max: Fury Road</t>
  </si>
  <si>
    <t>Barry Lyndon</t>
  </si>
  <si>
    <t>3h 5m</t>
  </si>
  <si>
    <t>Gran Torino</t>
  </si>
  <si>
    <t>My Neighbor Totoro</t>
  </si>
  <si>
    <t>1h 26m</t>
  </si>
  <si>
    <t>Children of Heaven</t>
  </si>
  <si>
    <t>Hacksaw Ridge</t>
  </si>
  <si>
    <t>The Grand Budapest Hotel</t>
  </si>
  <si>
    <t>12 Years a Slave</t>
  </si>
  <si>
    <t>2h 14m</t>
  </si>
  <si>
    <t>Before Sunrise</t>
  </si>
  <si>
    <t>1h 41m</t>
  </si>
  <si>
    <t>Blade Runner</t>
  </si>
  <si>
    <t>Spider-Man: No Way Home</t>
  </si>
  <si>
    <t>Memories of Murder</t>
  </si>
  <si>
    <t>Ratatouille</t>
  </si>
  <si>
    <t>Gone Girl</t>
  </si>
  <si>
    <t>How to Train Your Dragon</t>
  </si>
  <si>
    <t>Monsters, Inc.</t>
  </si>
  <si>
    <t>1h 32m</t>
  </si>
  <si>
    <t>Jaws</t>
  </si>
  <si>
    <t>In the Name of the Father</t>
  </si>
  <si>
    <t>Ford v Ferrari</t>
  </si>
  <si>
    <t>Wild Tales</t>
  </si>
  <si>
    <t>The Gold Rush</t>
  </si>
  <si>
    <t>Sherlock Jr.</t>
  </si>
  <si>
    <t>45m</t>
  </si>
  <si>
    <t>Mary and Max</t>
  </si>
  <si>
    <t>The Deer Hunter</t>
  </si>
  <si>
    <t>3h 3m</t>
  </si>
  <si>
    <t>The Wages of Fear</t>
  </si>
  <si>
    <t>The General</t>
  </si>
  <si>
    <t>1h 18m</t>
  </si>
  <si>
    <t>Mr. Smith Goes to Washington</t>
  </si>
  <si>
    <t>Logan</t>
  </si>
  <si>
    <t>On the Waterfront</t>
  </si>
  <si>
    <t>Rocky</t>
  </si>
  <si>
    <t>Wild Strawberries</t>
  </si>
  <si>
    <t>Tokyo Story</t>
  </si>
  <si>
    <t>The Third Man</t>
  </si>
  <si>
    <t>1h 44m</t>
  </si>
  <si>
    <t>Pirates of the Caribbean: The Curse of the Black Pearl</t>
  </si>
  <si>
    <t>Spotlight</t>
  </si>
  <si>
    <t>Maharaja</t>
  </si>
  <si>
    <t>The Terminator</t>
  </si>
  <si>
    <t>La haine</t>
  </si>
  <si>
    <t>The Big Lebowski</t>
  </si>
  <si>
    <t>Jai Bhim</t>
  </si>
  <si>
    <t>The Seventh Seal</t>
  </si>
  <si>
    <t>Room</t>
  </si>
  <si>
    <t>The Sound of Music</t>
  </si>
  <si>
    <t>Hotel Rwanda</t>
  </si>
  <si>
    <t>The Best Years of Our Lives</t>
  </si>
  <si>
    <t>Platoon</t>
  </si>
  <si>
    <t>Before Sunset</t>
  </si>
  <si>
    <t>1h 20m</t>
  </si>
  <si>
    <t>The Incredibles</t>
  </si>
  <si>
    <t>The Exorcist</t>
  </si>
  <si>
    <t>A Silent Voice: The Movie</t>
  </si>
  <si>
    <t>Hachi: A Dog's Tale</t>
  </si>
  <si>
    <t>Rush</t>
  </si>
  <si>
    <t>The Wizard of Oz</t>
  </si>
  <si>
    <t>Stand by Me</t>
  </si>
  <si>
    <t>The Passion of Joan of Arc</t>
  </si>
  <si>
    <t>The Iron Giant</t>
  </si>
  <si>
    <t>My Father and My Son</t>
  </si>
  <si>
    <t>The Handmaiden</t>
  </si>
  <si>
    <t>Network</t>
  </si>
  <si>
    <t>The Battle of Algiers</t>
  </si>
  <si>
    <t>Demon Slayer: Kimetsu no Yaiba - The Movie: Mugen Train</t>
  </si>
  <si>
    <t>The Grapes of Wrath</t>
  </si>
  <si>
    <t>To Be or Not to Be</t>
  </si>
  <si>
    <t>Gangs of Wasseypur</t>
  </si>
  <si>
    <t>5h 21m</t>
  </si>
  <si>
    <t>The Help</t>
  </si>
  <si>
    <t>Andhadhun</t>
  </si>
  <si>
    <t>Film_ID</t>
  </si>
  <si>
    <t>Votes</t>
  </si>
  <si>
    <t>Realse_Date</t>
  </si>
  <si>
    <t>Movie_Duration</t>
  </si>
  <si>
    <t>Age_Rating</t>
  </si>
  <si>
    <t>Century</t>
  </si>
  <si>
    <t>Movie_Duration(min)</t>
  </si>
  <si>
    <t>movie_Name</t>
  </si>
  <si>
    <t>Duration_Level</t>
  </si>
  <si>
    <t>Average of Movie_Duration(min)</t>
  </si>
  <si>
    <t>Max of Realse_Date</t>
  </si>
  <si>
    <t>Max of Rate</t>
  </si>
  <si>
    <t>Count of movie_Name</t>
  </si>
  <si>
    <t>Mid</t>
  </si>
  <si>
    <t>Long</t>
  </si>
  <si>
    <t>Short</t>
  </si>
  <si>
    <t>Min of Rate</t>
  </si>
  <si>
    <t>Min of Realse_Date</t>
  </si>
  <si>
    <t>Average of Votes</t>
  </si>
  <si>
    <t>cards</t>
  </si>
  <si>
    <t>Row Labels</t>
  </si>
  <si>
    <t>Grand Total</t>
  </si>
  <si>
    <t>Count of Film_ID</t>
  </si>
  <si>
    <t>Average of Rate</t>
  </si>
  <si>
    <t>unknown</t>
  </si>
  <si>
    <t xml:space="preserve">IMDS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</si>
</sst>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5" x14ac:knownFonts="1">
    <font>
      <sz val="11"/>
      <color theme="1"/>
      <name val="Calibri"/>
      <family val="2"/>
      <scheme val="minor"/>
    </font>
    <font>
      <sz val="11"/>
      <color theme="0"/>
      <name val="Calibri"/>
      <family val="2"/>
      <scheme val="minor"/>
    </font>
    <font>
      <sz val="16"/>
      <color theme="0"/>
      <name val="Calibri"/>
      <family val="2"/>
      <scheme val="minor"/>
    </font>
    <font>
      <sz val="11"/>
      <color theme="1"/>
      <name val="Calibri"/>
      <family val="2"/>
      <scheme val="minor"/>
    </font>
    <font>
      <sz val="28"/>
      <color rgb="FFFFC00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9"/>
        <bgColor indexed="64"/>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43" fontId="3" fillId="0" borderId="0" applyFont="0" applyFill="0" applyBorder="0" applyAlignment="0" applyProtection="0"/>
  </cellStyleXfs>
  <cellXfs count="13">
    <xf numFmtId="0" fontId="0" fillId="0" borderId="0" xfId="0"/>
    <xf numFmtId="0" fontId="0" fillId="0" borderId="0" xfId="0" applyAlignment="1">
      <alignment horizontal="center" vertical="center"/>
    </xf>
    <xf numFmtId="0" fontId="2" fillId="3" borderId="0" xfId="0" applyFont="1" applyFill="1" applyAlignment="1">
      <alignment horizontal="center"/>
    </xf>
    <xf numFmtId="0" fontId="1" fillId="2" borderId="0" xfId="0" applyFont="1" applyFill="1"/>
    <xf numFmtId="164" fontId="1" fillId="2" borderId="0" xfId="0" applyNumberFormat="1" applyFont="1" applyFill="1"/>
    <xf numFmtId="43" fontId="1" fillId="2" borderId="0" xfId="1" applyFont="1" applyFill="1"/>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4"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18">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7"/>
        </bottom>
        <vertical/>
        <horizontal/>
      </border>
    </dxf>
    <dxf>
      <fill>
        <patternFill>
          <bgColor theme="0" tint="-0.499984740745262"/>
        </patternFill>
      </fill>
      <border diagonalUp="0" diagonalDown="0">
        <left/>
        <right/>
        <top/>
        <bottom/>
        <vertical/>
        <horizontal/>
      </border>
    </dxf>
    <dxf>
      <font>
        <b/>
        <color theme="1"/>
      </font>
      <border>
        <bottom style="thin">
          <color theme="7"/>
        </bottom>
        <vertical/>
        <horizontal/>
      </border>
    </dxf>
    <dxf>
      <font>
        <color theme="0" tint="-0.499984740745262"/>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i val="0"/>
        <color theme="0"/>
      </font>
      <fill>
        <patternFill>
          <bgColor theme="0" tint="-0.34998626667073579"/>
        </patternFill>
      </fill>
      <border diagonalUp="0" diagonalDown="0">
        <left/>
        <right/>
        <top/>
        <bottom/>
        <vertical/>
        <horizontal/>
      </border>
    </dxf>
  </dxfs>
  <tableStyles count="3" defaultTableStyle="TableStyleMedium2" defaultPivotStyle="PivotStyleLight16">
    <tableStyle name="SlicerStyleDark2بتاعي 2" pivot="0" table="0" count="10" xr9:uid="{643BEF52-6786-4B45-B345-97DC241D4C91}">
      <tableStyleElement type="wholeTable" dxfId="17"/>
      <tableStyleElement type="headerRow" dxfId="16"/>
    </tableStyle>
    <tableStyle name="SlicerStyleDark4 2" pivot="0" table="0" count="10" xr9:uid="{9D437299-FEE8-43DA-99D7-3A24C3FBD997}">
      <tableStyleElement type="wholeTable" dxfId="15"/>
      <tableStyleElement type="headerRow" dxfId="14"/>
    </tableStyle>
    <tableStyle name="SlicerStyleDarkبتاعي 2 2" pivot="0" table="0" count="10" xr9:uid="{D9CD1D86-45AD-4367-9E42-2D52D4B64F84}">
      <tableStyleElement type="wholeTable" dxfId="13"/>
      <tableStyleElement type="headerRow" dxfId="12"/>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بتاعي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بتاعي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10 Rated Movies </a:t>
            </a:r>
          </a:p>
        </c:rich>
      </c:tx>
      <c:layout>
        <c:manualLayout>
          <c:xMode val="edge"/>
          <c:yMode val="edge"/>
          <c:x val="0.32836947735202077"/>
          <c:y val="5.20463647048602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45887526886070484"/>
          <c:y val="0.12017505610352226"/>
          <c:w val="0.50141350870056089"/>
          <c:h val="0.75908639368689879"/>
        </c:manualLayout>
      </c:layout>
      <c:barChart>
        <c:barDir val="bar"/>
        <c:grouping val="clustered"/>
        <c:varyColors val="0"/>
        <c:ser>
          <c:idx val="0"/>
          <c:order val="0"/>
          <c:spPr>
            <a:solidFill>
              <a:schemeClr val="accent4"/>
            </a:solidFill>
            <a:ln>
              <a:noFill/>
            </a:ln>
            <a:effectLst/>
          </c:spPr>
          <c:invertIfNegative val="0"/>
          <c:cat>
            <c:strRef>
              <c:f>pivot!$E$8:$E$17</c:f>
              <c:strCache>
                <c:ptCount val="10"/>
                <c:pt idx="0">
                  <c:v>The Shawshank Redemption</c:v>
                </c:pt>
                <c:pt idx="1">
                  <c:v>The Godfather</c:v>
                </c:pt>
                <c:pt idx="2">
                  <c:v>The Dark Knight</c:v>
                </c:pt>
                <c:pt idx="3">
                  <c:v>The Godfather Part II</c:v>
                </c:pt>
                <c:pt idx="4">
                  <c:v>12 Angry Men</c:v>
                </c:pt>
                <c:pt idx="5">
                  <c:v>The Lord of the Rings: The Return of the King</c:v>
                </c:pt>
                <c:pt idx="6">
                  <c:v>Schindler's List</c:v>
                </c:pt>
                <c:pt idx="7">
                  <c:v>The Lord of the Rings: The Fellowship of the Ring</c:v>
                </c:pt>
                <c:pt idx="8">
                  <c:v>Pulp Fiction</c:v>
                </c:pt>
                <c:pt idx="9">
                  <c:v>The Good, the Bad and the Ugly</c:v>
                </c:pt>
              </c:strCache>
            </c:strRef>
          </c:cat>
          <c:val>
            <c:numRef>
              <c:f>pivot!$F$8:$F$17</c:f>
              <c:numCache>
                <c:formatCode>General</c:formatCode>
                <c:ptCount val="10"/>
                <c:pt idx="0">
                  <c:v>9.3000000000000007</c:v>
                </c:pt>
                <c:pt idx="1">
                  <c:v>9.1999999999999993</c:v>
                </c:pt>
                <c:pt idx="2">
                  <c:v>9.1</c:v>
                </c:pt>
                <c:pt idx="3">
                  <c:v>9</c:v>
                </c:pt>
                <c:pt idx="4">
                  <c:v>9</c:v>
                </c:pt>
                <c:pt idx="5">
                  <c:v>9</c:v>
                </c:pt>
                <c:pt idx="6">
                  <c:v>9</c:v>
                </c:pt>
                <c:pt idx="7">
                  <c:v>8.9</c:v>
                </c:pt>
                <c:pt idx="8">
                  <c:v>8.8000000000000007</c:v>
                </c:pt>
                <c:pt idx="9">
                  <c:v>8.8000000000000007</c:v>
                </c:pt>
              </c:numCache>
            </c:numRef>
          </c:val>
          <c:extLst>
            <c:ext xmlns:c16="http://schemas.microsoft.com/office/drawing/2014/chart" uri="{C3380CC4-5D6E-409C-BE32-E72D297353CC}">
              <c16:uniqueId val="{00000000-153D-4EB2-9CA2-314DBEB3F192}"/>
            </c:ext>
          </c:extLst>
        </c:ser>
        <c:dLbls>
          <c:showLegendKey val="0"/>
          <c:showVal val="0"/>
          <c:showCatName val="0"/>
          <c:showSerName val="0"/>
          <c:showPercent val="0"/>
          <c:showBubbleSize val="0"/>
        </c:dLbls>
        <c:gapWidth val="182"/>
        <c:axId val="1566413103"/>
        <c:axId val="1566403983"/>
      </c:barChart>
      <c:catAx>
        <c:axId val="156641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403983"/>
        <c:crosses val="autoZero"/>
        <c:auto val="1"/>
        <c:lblAlgn val="ctr"/>
        <c:lblOffset val="100"/>
        <c:noMultiLvlLbl val="0"/>
      </c:catAx>
      <c:valAx>
        <c:axId val="156640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413103"/>
        <c:crosses val="autoZero"/>
        <c:crossBetween val="between"/>
      </c:valAx>
      <c:spPr>
        <a:noFill/>
        <a:ln>
          <a:noFill/>
        </a:ln>
        <a:effectLst/>
      </c:spPr>
    </c:plotArea>
    <c:plotVisOnly val="1"/>
    <c:dispBlanksAs val="gap"/>
    <c:showDLblsOverMax val="0"/>
  </c:chart>
  <c:spPr>
    <a:solidFill>
      <a:schemeClr val="bg1">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[IMDB Dashboard.xlsx]pivot!No.of movies by century</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 lastClr="FFFFFF"/>
                </a:solidFill>
                <a:latin typeface="+mn-lt"/>
                <a:ea typeface="+mn-ea"/>
                <a:cs typeface="+mn-cs"/>
              </a:defRPr>
            </a:pPr>
            <a:r>
              <a:rPr lang="en-US" sz="1050" b="0" i="0" u="none" strike="noStrike" kern="1200" spc="0" baseline="0">
                <a:solidFill>
                  <a:schemeClr val="bg1"/>
                </a:solidFill>
              </a:rPr>
              <a:t>No.of movies by century</a:t>
            </a:r>
          </a:p>
        </c:rich>
      </c:tx>
      <c:layout>
        <c:manualLayout>
          <c:xMode val="edge"/>
          <c:yMode val="edge"/>
          <c:x val="0.21965049530099065"/>
          <c:y val="2.060333309893818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tint val="77000"/>
            </a:schemeClr>
          </a:solidFill>
          <a:ln>
            <a:noFill/>
          </a:ln>
          <a:effectLst/>
        </c:spPr>
        <c:dLbl>
          <c:idx val="0"/>
          <c:layout>
            <c:manualLayout>
              <c:x val="0.22760201458806184"/>
              <c:y val="5.60866839330169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hade val="76000"/>
            </a:schemeClr>
          </a:solidFill>
          <a:ln>
            <a:noFill/>
          </a:ln>
          <a:effectLst/>
        </c:spPr>
        <c:dLbl>
          <c:idx val="0"/>
          <c:layout>
            <c:manualLayout>
              <c:x val="-0.25764830061733307"/>
              <c:y val="-3.33705903682466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4415895555683"/>
          <c:y val="0.2509541697172325"/>
          <c:w val="0.70572234669925715"/>
          <c:h val="0.6878986048056237"/>
        </c:manualLayout>
      </c:layout>
      <c:pieChart>
        <c:varyColors val="1"/>
        <c:ser>
          <c:idx val="0"/>
          <c:order val="0"/>
          <c:tx>
            <c:strRef>
              <c:f>pivot!$C$8</c:f>
              <c:strCache>
                <c:ptCount val="1"/>
                <c:pt idx="0">
                  <c:v>Total</c:v>
                </c:pt>
              </c:strCache>
            </c:strRef>
          </c:tx>
          <c:dPt>
            <c:idx val="0"/>
            <c:bubble3D val="0"/>
            <c:spPr>
              <a:solidFill>
                <a:schemeClr val="accent4">
                  <a:shade val="76000"/>
                </a:schemeClr>
              </a:solidFill>
              <a:ln>
                <a:noFill/>
              </a:ln>
              <a:effectLst/>
            </c:spPr>
            <c:extLst>
              <c:ext xmlns:c16="http://schemas.microsoft.com/office/drawing/2014/chart" uri="{C3380CC4-5D6E-409C-BE32-E72D297353CC}">
                <c16:uniqueId val="{00000002-C0B4-4E98-9938-11C8D213925A}"/>
              </c:ext>
            </c:extLst>
          </c:dPt>
          <c:dPt>
            <c:idx val="1"/>
            <c:bubble3D val="0"/>
            <c:spPr>
              <a:solidFill>
                <a:schemeClr val="accent4">
                  <a:tint val="77000"/>
                </a:schemeClr>
              </a:solidFill>
              <a:ln>
                <a:noFill/>
              </a:ln>
              <a:effectLst/>
            </c:spPr>
            <c:extLst>
              <c:ext xmlns:c16="http://schemas.microsoft.com/office/drawing/2014/chart" uri="{C3380CC4-5D6E-409C-BE32-E72D297353CC}">
                <c16:uniqueId val="{00000001-C0B4-4E98-9938-11C8D213925A}"/>
              </c:ext>
            </c:extLst>
          </c:dPt>
          <c:dLbls>
            <c:dLbl>
              <c:idx val="0"/>
              <c:layout>
                <c:manualLayout>
                  <c:x val="-0.25764830061733307"/>
                  <c:y val="-3.33705903682466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B4-4E98-9938-11C8D213925A}"/>
                </c:ext>
              </c:extLst>
            </c:dLbl>
            <c:dLbl>
              <c:idx val="1"/>
              <c:layout>
                <c:manualLayout>
                  <c:x val="0.22760201458806184"/>
                  <c:y val="5.60866839330169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B4-4E98-9938-11C8D213925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pivot!$B$9:$B$11</c:f>
              <c:strCache>
                <c:ptCount val="2"/>
                <c:pt idx="0">
                  <c:v>20</c:v>
                </c:pt>
                <c:pt idx="1">
                  <c:v>21</c:v>
                </c:pt>
              </c:strCache>
            </c:strRef>
          </c:cat>
          <c:val>
            <c:numRef>
              <c:f>pivot!$C$9:$C$11</c:f>
              <c:numCache>
                <c:formatCode>General</c:formatCode>
                <c:ptCount val="2"/>
                <c:pt idx="0">
                  <c:v>147</c:v>
                </c:pt>
                <c:pt idx="1">
                  <c:v>103</c:v>
                </c:pt>
              </c:numCache>
            </c:numRef>
          </c:val>
          <c:extLst>
            <c:ext xmlns:c16="http://schemas.microsoft.com/office/drawing/2014/chart" uri="{C3380CC4-5D6E-409C-BE32-E72D297353CC}">
              <c16:uniqueId val="{00000000-C0B4-4E98-9938-11C8D213925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
          <c:y val="0.86264151523155641"/>
          <c:w val="0.32133150618101908"/>
          <c:h val="0.131331216698605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Dashboard.xlsx]pivot!AVG Movie Duration by Rate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AVG Movie Duration by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pivot!$I$8</c:f>
              <c:strCache>
                <c:ptCount val="1"/>
                <c:pt idx="0">
                  <c:v>Total</c:v>
                </c:pt>
              </c:strCache>
            </c:strRef>
          </c:tx>
          <c:spPr>
            <a:ln w="28575" cap="rnd">
              <a:solidFill>
                <a:srgbClr val="FFC000"/>
              </a:solidFill>
              <a:round/>
            </a:ln>
            <a:effectLst/>
          </c:spPr>
          <c:marker>
            <c:symbol val="none"/>
          </c:marker>
          <c:cat>
            <c:strRef>
              <c:f>pivot!$H$9:$H$23</c:f>
              <c:strCache>
                <c:ptCount val="14"/>
                <c:pt idx="0">
                  <c:v>8</c:v>
                </c:pt>
                <c:pt idx="1">
                  <c:v>8.1</c:v>
                </c:pt>
                <c:pt idx="2">
                  <c:v>8.2</c:v>
                </c:pt>
                <c:pt idx="3">
                  <c:v>8.3</c:v>
                </c:pt>
                <c:pt idx="4">
                  <c:v>8.4</c:v>
                </c:pt>
                <c:pt idx="5">
                  <c:v>8.5</c:v>
                </c:pt>
                <c:pt idx="6">
                  <c:v>8.6</c:v>
                </c:pt>
                <c:pt idx="7">
                  <c:v>8.7</c:v>
                </c:pt>
                <c:pt idx="8">
                  <c:v>8.8</c:v>
                </c:pt>
                <c:pt idx="9">
                  <c:v>8.9</c:v>
                </c:pt>
                <c:pt idx="10">
                  <c:v>9</c:v>
                </c:pt>
                <c:pt idx="11">
                  <c:v>9.1</c:v>
                </c:pt>
                <c:pt idx="12">
                  <c:v>9.2</c:v>
                </c:pt>
                <c:pt idx="13">
                  <c:v>9.3</c:v>
                </c:pt>
              </c:strCache>
            </c:strRef>
          </c:cat>
          <c:val>
            <c:numRef>
              <c:f>pivot!$I$9:$I$23</c:f>
              <c:numCache>
                <c:formatCode>General</c:formatCode>
                <c:ptCount val="14"/>
                <c:pt idx="0">
                  <c:v>115</c:v>
                </c:pt>
                <c:pt idx="1">
                  <c:v>120.58333333333333</c:v>
                </c:pt>
                <c:pt idx="2">
                  <c:v>130.75</c:v>
                </c:pt>
                <c:pt idx="3">
                  <c:v>136.18421052631578</c:v>
                </c:pt>
                <c:pt idx="4">
                  <c:v>143.80000000000001</c:v>
                </c:pt>
                <c:pt idx="5">
                  <c:v>124.04166666666667</c:v>
                </c:pt>
                <c:pt idx="6">
                  <c:v>140</c:v>
                </c:pt>
                <c:pt idx="7">
                  <c:v>142.33333333333334</c:v>
                </c:pt>
                <c:pt idx="8">
                  <c:v>156.66666666666666</c:v>
                </c:pt>
                <c:pt idx="9">
                  <c:v>178</c:v>
                </c:pt>
                <c:pt idx="10">
                  <c:v>173.5</c:v>
                </c:pt>
                <c:pt idx="11">
                  <c:v>152</c:v>
                </c:pt>
                <c:pt idx="12">
                  <c:v>175</c:v>
                </c:pt>
                <c:pt idx="13">
                  <c:v>142</c:v>
                </c:pt>
              </c:numCache>
            </c:numRef>
          </c:val>
          <c:smooth val="0"/>
          <c:extLst>
            <c:ext xmlns:c16="http://schemas.microsoft.com/office/drawing/2014/chart" uri="{C3380CC4-5D6E-409C-BE32-E72D297353CC}">
              <c16:uniqueId val="{00000000-9EEC-41DC-A9E1-6FCD72A4BC87}"/>
            </c:ext>
          </c:extLst>
        </c:ser>
        <c:dLbls>
          <c:showLegendKey val="0"/>
          <c:showVal val="0"/>
          <c:showCatName val="0"/>
          <c:showSerName val="0"/>
          <c:showPercent val="0"/>
          <c:showBubbleSize val="0"/>
        </c:dLbls>
        <c:smooth val="0"/>
        <c:axId val="1772456799"/>
        <c:axId val="1772457279"/>
      </c:lineChart>
      <c:catAx>
        <c:axId val="177245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2457279"/>
        <c:crosses val="autoZero"/>
        <c:auto val="1"/>
        <c:lblAlgn val="ctr"/>
        <c:lblOffset val="100"/>
        <c:noMultiLvlLbl val="0"/>
      </c:catAx>
      <c:valAx>
        <c:axId val="177245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245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Dashboard.xlsx]pivot!AVG Rating Over Release Years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0" i="0" u="none" strike="noStrike" baseline="0"/>
              <a:t>AVG Rating Over Release Years</a:t>
            </a:r>
            <a:endParaRPr lang="en-US" sz="1200">
              <a:solidFill>
                <a:schemeClr val="bg1"/>
              </a:solidFill>
            </a:endParaRPr>
          </a:p>
        </c:rich>
      </c:tx>
      <c:layout>
        <c:manualLayout>
          <c:xMode val="edge"/>
          <c:yMode val="edge"/>
          <c:x val="0.28457687452898622"/>
          <c:y val="2.1935935553257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pivot!$L$8</c:f>
              <c:strCache>
                <c:ptCount val="1"/>
                <c:pt idx="0">
                  <c:v>Total</c:v>
                </c:pt>
              </c:strCache>
            </c:strRef>
          </c:tx>
          <c:spPr>
            <a:ln w="28575" cap="rnd">
              <a:solidFill>
                <a:srgbClr val="FFC000"/>
              </a:solidFill>
              <a:round/>
            </a:ln>
            <a:effectLst/>
          </c:spPr>
          <c:marker>
            <c:symbol val="none"/>
          </c:marker>
          <c:cat>
            <c:strRef>
              <c:f>pivot!$K$9:$K$95</c:f>
              <c:strCache>
                <c:ptCount val="86"/>
                <c:pt idx="0">
                  <c:v>1921</c:v>
                </c:pt>
                <c:pt idx="1">
                  <c:v>1924</c:v>
                </c:pt>
                <c:pt idx="2">
                  <c:v>1925</c:v>
                </c:pt>
                <c:pt idx="3">
                  <c:v>1926</c:v>
                </c:pt>
                <c:pt idx="4">
                  <c:v>1927</c:v>
                </c:pt>
                <c:pt idx="5">
                  <c:v>1928</c:v>
                </c:pt>
                <c:pt idx="6">
                  <c:v>1931</c:v>
                </c:pt>
                <c:pt idx="7">
                  <c:v>1936</c:v>
                </c:pt>
                <c:pt idx="8">
                  <c:v>1939</c:v>
                </c:pt>
                <c:pt idx="9">
                  <c:v>1940</c:v>
                </c:pt>
                <c:pt idx="10">
                  <c:v>1941</c:v>
                </c:pt>
                <c:pt idx="11">
                  <c:v>1942</c:v>
                </c:pt>
                <c:pt idx="12">
                  <c:v>1944</c:v>
                </c:pt>
                <c:pt idx="13">
                  <c:v>1946</c:v>
                </c:pt>
                <c:pt idx="14">
                  <c:v>1948</c:v>
                </c:pt>
                <c:pt idx="15">
                  <c:v>1949</c:v>
                </c:pt>
                <c:pt idx="16">
                  <c:v>1950</c:v>
                </c:pt>
                <c:pt idx="17">
                  <c:v>1952</c:v>
                </c:pt>
                <c:pt idx="18">
                  <c:v>1953</c:v>
                </c:pt>
                <c:pt idx="19">
                  <c:v>1954</c:v>
                </c:pt>
                <c:pt idx="20">
                  <c:v>1957</c:v>
                </c:pt>
                <c:pt idx="21">
                  <c:v>1958</c:v>
                </c:pt>
                <c:pt idx="22">
                  <c:v>1959</c:v>
                </c:pt>
                <c:pt idx="23">
                  <c:v>1960</c:v>
                </c:pt>
                <c:pt idx="24">
                  <c:v>1961</c:v>
                </c:pt>
                <c:pt idx="25">
                  <c:v>1962</c:v>
                </c:pt>
                <c:pt idx="26">
                  <c:v>1963</c:v>
                </c:pt>
                <c:pt idx="27">
                  <c:v>1964</c:v>
                </c:pt>
                <c:pt idx="28">
                  <c:v>1965</c:v>
                </c:pt>
                <c:pt idx="29">
                  <c:v>1966</c:v>
                </c:pt>
                <c:pt idx="30">
                  <c:v>1968</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pt idx="68">
                  <c:v>2008</c:v>
                </c:pt>
                <c:pt idx="69">
                  <c:v>2009</c:v>
                </c:pt>
                <c:pt idx="70">
                  <c:v>2010</c:v>
                </c:pt>
                <c:pt idx="71">
                  <c:v>2011</c:v>
                </c:pt>
                <c:pt idx="72">
                  <c:v>2012</c:v>
                </c:pt>
                <c:pt idx="73">
                  <c:v>2013</c:v>
                </c:pt>
                <c:pt idx="74">
                  <c:v>2014</c:v>
                </c:pt>
                <c:pt idx="75">
                  <c:v>2015</c:v>
                </c:pt>
                <c:pt idx="76">
                  <c:v>2016</c:v>
                </c:pt>
                <c:pt idx="77">
                  <c:v>2017</c:v>
                </c:pt>
                <c:pt idx="78">
                  <c:v>2018</c:v>
                </c:pt>
                <c:pt idx="79">
                  <c:v>2019</c:v>
                </c:pt>
                <c:pt idx="80">
                  <c:v>2020</c:v>
                </c:pt>
                <c:pt idx="81">
                  <c:v>2021</c:v>
                </c:pt>
                <c:pt idx="82">
                  <c:v>2022</c:v>
                </c:pt>
                <c:pt idx="83">
                  <c:v>2023</c:v>
                </c:pt>
                <c:pt idx="84">
                  <c:v>2024</c:v>
                </c:pt>
                <c:pt idx="85">
                  <c:v>2025</c:v>
                </c:pt>
              </c:strCache>
            </c:strRef>
          </c:cat>
          <c:val>
            <c:numRef>
              <c:f>pivot!$L$9:$L$95</c:f>
              <c:numCache>
                <c:formatCode>General</c:formatCode>
                <c:ptCount val="86"/>
                <c:pt idx="0">
                  <c:v>8.1999999999999993</c:v>
                </c:pt>
                <c:pt idx="1">
                  <c:v>8.1</c:v>
                </c:pt>
                <c:pt idx="2">
                  <c:v>8.1</c:v>
                </c:pt>
                <c:pt idx="3">
                  <c:v>8.1</c:v>
                </c:pt>
                <c:pt idx="4">
                  <c:v>8.3000000000000007</c:v>
                </c:pt>
                <c:pt idx="5">
                  <c:v>8.1</c:v>
                </c:pt>
                <c:pt idx="6">
                  <c:v>8.4</c:v>
                </c:pt>
                <c:pt idx="7">
                  <c:v>8.5</c:v>
                </c:pt>
                <c:pt idx="8">
                  <c:v>8.1333333333333329</c:v>
                </c:pt>
                <c:pt idx="9">
                  <c:v>8.25</c:v>
                </c:pt>
                <c:pt idx="10">
                  <c:v>8.1999999999999993</c:v>
                </c:pt>
                <c:pt idx="11">
                  <c:v>8.3000000000000007</c:v>
                </c:pt>
                <c:pt idx="12">
                  <c:v>8.3000000000000007</c:v>
                </c:pt>
                <c:pt idx="13">
                  <c:v>8.35</c:v>
                </c:pt>
                <c:pt idx="14">
                  <c:v>8.1999999999999993</c:v>
                </c:pt>
                <c:pt idx="15">
                  <c:v>8.1</c:v>
                </c:pt>
                <c:pt idx="16">
                  <c:v>8.2333333333333343</c:v>
                </c:pt>
                <c:pt idx="17">
                  <c:v>8.3000000000000007</c:v>
                </c:pt>
                <c:pt idx="18">
                  <c:v>8.1</c:v>
                </c:pt>
                <c:pt idx="19">
                  <c:v>8.35</c:v>
                </c:pt>
                <c:pt idx="20">
                  <c:v>8.35</c:v>
                </c:pt>
                <c:pt idx="21">
                  <c:v>8.1999999999999993</c:v>
                </c:pt>
                <c:pt idx="22">
                  <c:v>8.2000000000000011</c:v>
                </c:pt>
                <c:pt idx="23">
                  <c:v>8.4</c:v>
                </c:pt>
                <c:pt idx="24">
                  <c:v>8.25</c:v>
                </c:pt>
                <c:pt idx="25">
                  <c:v>8.4</c:v>
                </c:pt>
                <c:pt idx="26">
                  <c:v>8.3000000000000007</c:v>
                </c:pt>
                <c:pt idx="27">
                  <c:v>8.3000000000000007</c:v>
                </c:pt>
                <c:pt idx="28">
                  <c:v>8.1499999999999986</c:v>
                </c:pt>
                <c:pt idx="29">
                  <c:v>8.4499999999999993</c:v>
                </c:pt>
                <c:pt idx="30">
                  <c:v>8.4</c:v>
                </c:pt>
                <c:pt idx="31">
                  <c:v>8.1999999999999993</c:v>
                </c:pt>
                <c:pt idx="32">
                  <c:v>9.1999999999999993</c:v>
                </c:pt>
                <c:pt idx="33">
                  <c:v>8.1499999999999986</c:v>
                </c:pt>
                <c:pt idx="34">
                  <c:v>8.5500000000000007</c:v>
                </c:pt>
                <c:pt idx="35">
                  <c:v>8.34</c:v>
                </c:pt>
                <c:pt idx="36">
                  <c:v>8.1333333333333329</c:v>
                </c:pt>
                <c:pt idx="37">
                  <c:v>8.6</c:v>
                </c:pt>
                <c:pt idx="38">
                  <c:v>8.1</c:v>
                </c:pt>
                <c:pt idx="39">
                  <c:v>8.4499999999999993</c:v>
                </c:pt>
                <c:pt idx="40">
                  <c:v>8.35</c:v>
                </c:pt>
                <c:pt idx="41">
                  <c:v>8.4</c:v>
                </c:pt>
                <c:pt idx="42">
                  <c:v>8.1499999999999986</c:v>
                </c:pt>
                <c:pt idx="43">
                  <c:v>8.3000000000000007</c:v>
                </c:pt>
                <c:pt idx="44">
                  <c:v>8.2666666666666675</c:v>
                </c:pt>
                <c:pt idx="45">
                  <c:v>8.3333333333333339</c:v>
                </c:pt>
                <c:pt idx="46">
                  <c:v>8.2000000000000011</c:v>
                </c:pt>
                <c:pt idx="47">
                  <c:v>8.1999999999999993</c:v>
                </c:pt>
                <c:pt idx="48">
                  <c:v>8.3249999999999993</c:v>
                </c:pt>
                <c:pt idx="49">
                  <c:v>8.1499999999999986</c:v>
                </c:pt>
                <c:pt idx="50">
                  <c:v>8.6999999999999993</c:v>
                </c:pt>
                <c:pt idx="51">
                  <c:v>8.6</c:v>
                </c:pt>
                <c:pt idx="52">
                  <c:v>8.25</c:v>
                </c:pt>
                <c:pt idx="53">
                  <c:v>8.4333333333333318</c:v>
                </c:pt>
                <c:pt idx="54">
                  <c:v>8.7800000000000011</c:v>
                </c:pt>
                <c:pt idx="55">
                  <c:v>8.3000000000000007</c:v>
                </c:pt>
                <c:pt idx="56">
                  <c:v>8.1</c:v>
                </c:pt>
                <c:pt idx="57">
                  <c:v>8.3199999999999985</c:v>
                </c:pt>
                <c:pt idx="58">
                  <c:v>8.3000000000000007</c:v>
                </c:pt>
                <c:pt idx="59">
                  <c:v>8.4500000000000011</c:v>
                </c:pt>
                <c:pt idx="60">
                  <c:v>8.35</c:v>
                </c:pt>
                <c:pt idx="61">
                  <c:v>8.42</c:v>
                </c:pt>
                <c:pt idx="62">
                  <c:v>8.5</c:v>
                </c:pt>
                <c:pt idx="63">
                  <c:v>8.3285714285714274</c:v>
                </c:pt>
                <c:pt idx="64">
                  <c:v>8.1428571428571423</c:v>
                </c:pt>
                <c:pt idx="65">
                  <c:v>8.1666666666666661</c:v>
                </c:pt>
                <c:pt idx="66">
                  <c:v>8.3999999999999986</c:v>
                </c:pt>
                <c:pt idx="67">
                  <c:v>8.1999999999999993</c:v>
                </c:pt>
                <c:pt idx="68">
                  <c:v>8.5333333333333332</c:v>
                </c:pt>
                <c:pt idx="69">
                  <c:v>8.25</c:v>
                </c:pt>
                <c:pt idx="70">
                  <c:v>8.34</c:v>
                </c:pt>
                <c:pt idx="71">
                  <c:v>8.2200000000000006</c:v>
                </c:pt>
                <c:pt idx="72">
                  <c:v>8.35</c:v>
                </c:pt>
                <c:pt idx="73">
                  <c:v>8.15</c:v>
                </c:pt>
                <c:pt idx="74">
                  <c:v>8.3000000000000007</c:v>
                </c:pt>
                <c:pt idx="75">
                  <c:v>8.1</c:v>
                </c:pt>
                <c:pt idx="76">
                  <c:v>8.2200000000000006</c:v>
                </c:pt>
                <c:pt idx="77">
                  <c:v>8.2000000000000011</c:v>
                </c:pt>
                <c:pt idx="78">
                  <c:v>8.3200000000000021</c:v>
                </c:pt>
                <c:pt idx="79">
                  <c:v>8.2833333333333332</c:v>
                </c:pt>
                <c:pt idx="80">
                  <c:v>8.2333333333333325</c:v>
                </c:pt>
                <c:pt idx="81">
                  <c:v>8.3999999999999986</c:v>
                </c:pt>
                <c:pt idx="82">
                  <c:v>8.1999999999999993</c:v>
                </c:pt>
                <c:pt idx="83">
                  <c:v>8.5</c:v>
                </c:pt>
                <c:pt idx="84">
                  <c:v>8.3000000000000007</c:v>
                </c:pt>
                <c:pt idx="85">
                  <c:v>8.35</c:v>
                </c:pt>
              </c:numCache>
            </c:numRef>
          </c:val>
          <c:smooth val="0"/>
          <c:extLst>
            <c:ext xmlns:c16="http://schemas.microsoft.com/office/drawing/2014/chart" uri="{C3380CC4-5D6E-409C-BE32-E72D297353CC}">
              <c16:uniqueId val="{00000000-365B-4260-8973-3795773A8C6E}"/>
            </c:ext>
          </c:extLst>
        </c:ser>
        <c:dLbls>
          <c:showLegendKey val="0"/>
          <c:showVal val="0"/>
          <c:showCatName val="0"/>
          <c:showSerName val="0"/>
          <c:showPercent val="0"/>
          <c:showBubbleSize val="0"/>
        </c:dLbls>
        <c:smooth val="0"/>
        <c:axId val="1772488959"/>
        <c:axId val="1772479839"/>
      </c:lineChart>
      <c:catAx>
        <c:axId val="177248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2479839"/>
        <c:crosses val="autoZero"/>
        <c:auto val="1"/>
        <c:lblAlgn val="ctr"/>
        <c:lblOffset val="100"/>
        <c:noMultiLvlLbl val="0"/>
      </c:catAx>
      <c:valAx>
        <c:axId val="1772479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248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Dashboard.xlsx]pivot!Average Votes by Rate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AVG Votes by Rate</a:t>
            </a:r>
          </a:p>
        </c:rich>
      </c:tx>
      <c:layout>
        <c:manualLayout>
          <c:xMode val="edge"/>
          <c:yMode val="edge"/>
          <c:x val="0.34402331786247425"/>
          <c:y val="3.73761933555326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4231078833613"/>
          <c:y val="0.17902728217269484"/>
          <c:w val="0.83739569998475172"/>
          <c:h val="0.66797197690362031"/>
        </c:manualLayout>
      </c:layout>
      <c:lineChart>
        <c:grouping val="standard"/>
        <c:varyColors val="0"/>
        <c:ser>
          <c:idx val="0"/>
          <c:order val="0"/>
          <c:tx>
            <c:strRef>
              <c:f>pivot!$C$25</c:f>
              <c:strCache>
                <c:ptCount val="1"/>
                <c:pt idx="0">
                  <c:v>Total</c:v>
                </c:pt>
              </c:strCache>
            </c:strRef>
          </c:tx>
          <c:spPr>
            <a:ln w="28575" cap="rnd">
              <a:solidFill>
                <a:srgbClr val="FFC000"/>
              </a:solidFill>
              <a:round/>
            </a:ln>
            <a:effectLst/>
          </c:spPr>
          <c:marker>
            <c:symbol val="none"/>
          </c:marker>
          <c:cat>
            <c:strRef>
              <c:f>pivot!$B$26:$B$40</c:f>
              <c:strCache>
                <c:ptCount val="14"/>
                <c:pt idx="0">
                  <c:v>8</c:v>
                </c:pt>
                <c:pt idx="1">
                  <c:v>8.1</c:v>
                </c:pt>
                <c:pt idx="2">
                  <c:v>8.2</c:v>
                </c:pt>
                <c:pt idx="3">
                  <c:v>8.3</c:v>
                </c:pt>
                <c:pt idx="4">
                  <c:v>8.4</c:v>
                </c:pt>
                <c:pt idx="5">
                  <c:v>8.5</c:v>
                </c:pt>
                <c:pt idx="6">
                  <c:v>8.6</c:v>
                </c:pt>
                <c:pt idx="7">
                  <c:v>8.7</c:v>
                </c:pt>
                <c:pt idx="8">
                  <c:v>8.8</c:v>
                </c:pt>
                <c:pt idx="9">
                  <c:v>8.9</c:v>
                </c:pt>
                <c:pt idx="10">
                  <c:v>9</c:v>
                </c:pt>
                <c:pt idx="11">
                  <c:v>9.1</c:v>
                </c:pt>
                <c:pt idx="12">
                  <c:v>9.2</c:v>
                </c:pt>
                <c:pt idx="13">
                  <c:v>9.3</c:v>
                </c:pt>
              </c:strCache>
            </c:strRef>
          </c:cat>
          <c:val>
            <c:numRef>
              <c:f>pivot!$C$26:$C$40</c:f>
              <c:numCache>
                <c:formatCode>General</c:formatCode>
                <c:ptCount val="14"/>
                <c:pt idx="0">
                  <c:v>11200</c:v>
                </c:pt>
                <c:pt idx="1">
                  <c:v>88650</c:v>
                </c:pt>
                <c:pt idx="2">
                  <c:v>294832.14285714284</c:v>
                </c:pt>
                <c:pt idx="3">
                  <c:v>245392.10526315789</c:v>
                </c:pt>
                <c:pt idx="4">
                  <c:v>506504</c:v>
                </c:pt>
                <c:pt idx="5">
                  <c:v>593741.66666666663</c:v>
                </c:pt>
                <c:pt idx="6">
                  <c:v>882114.28571428568</c:v>
                </c:pt>
                <c:pt idx="7">
                  <c:v>1466666.6666666667</c:v>
                </c:pt>
                <c:pt idx="8">
                  <c:v>1997850</c:v>
                </c:pt>
                <c:pt idx="9">
                  <c:v>2100000</c:v>
                </c:pt>
                <c:pt idx="10">
                  <c:v>1323825</c:v>
                </c:pt>
                <c:pt idx="11">
                  <c:v>3100000</c:v>
                </c:pt>
                <c:pt idx="12">
                  <c:v>2200000</c:v>
                </c:pt>
                <c:pt idx="13">
                  <c:v>3100000</c:v>
                </c:pt>
              </c:numCache>
            </c:numRef>
          </c:val>
          <c:smooth val="0"/>
          <c:extLst>
            <c:ext xmlns:c16="http://schemas.microsoft.com/office/drawing/2014/chart" uri="{C3380CC4-5D6E-409C-BE32-E72D297353CC}">
              <c16:uniqueId val="{00000000-F4B6-43B7-94EF-652A6E2E2192}"/>
            </c:ext>
          </c:extLst>
        </c:ser>
        <c:dLbls>
          <c:showLegendKey val="0"/>
          <c:showVal val="0"/>
          <c:showCatName val="0"/>
          <c:showSerName val="0"/>
          <c:showPercent val="0"/>
          <c:showBubbleSize val="0"/>
        </c:dLbls>
        <c:smooth val="0"/>
        <c:axId val="161152895"/>
        <c:axId val="161175935"/>
      </c:lineChart>
      <c:catAx>
        <c:axId val="16115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175935"/>
        <c:crosses val="autoZero"/>
        <c:auto val="1"/>
        <c:lblAlgn val="ctr"/>
        <c:lblOffset val="100"/>
        <c:noMultiLvlLbl val="0"/>
      </c:catAx>
      <c:valAx>
        <c:axId val="16117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15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Dashboard.xlsx]pivot!No.of movies by Age Rating</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sz="1300"/>
              <a:t>No.of movies by Age Rating</a:t>
            </a:r>
          </a:p>
        </c:rich>
      </c:tx>
      <c:layout>
        <c:manualLayout>
          <c:xMode val="edge"/>
          <c:yMode val="edge"/>
          <c:x val="0.26377229817115089"/>
          <c:y val="2.4433484647787471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50429983511379E-2"/>
          <c:y val="4.3308351538203289E-2"/>
          <c:w val="0.93359966116860005"/>
          <c:h val="0.77245355473533439"/>
        </c:manualLayout>
      </c:layout>
      <c:barChart>
        <c:barDir val="col"/>
        <c:grouping val="clustered"/>
        <c:varyColors val="0"/>
        <c:ser>
          <c:idx val="0"/>
          <c:order val="0"/>
          <c:tx>
            <c:strRef>
              <c:f>pivot!$F$25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pivot!$E$26:$E$35</c:f>
              <c:strCache>
                <c:ptCount val="9"/>
                <c:pt idx="0">
                  <c:v>Approved</c:v>
                </c:pt>
                <c:pt idx="1">
                  <c:v>G</c:v>
                </c:pt>
                <c:pt idx="2">
                  <c:v>NC-17</c:v>
                </c:pt>
                <c:pt idx="3">
                  <c:v>Not Rated</c:v>
                </c:pt>
                <c:pt idx="4">
                  <c:v>Passed</c:v>
                </c:pt>
                <c:pt idx="5">
                  <c:v>PG</c:v>
                </c:pt>
                <c:pt idx="6">
                  <c:v>PG-13</c:v>
                </c:pt>
                <c:pt idx="7">
                  <c:v>R</c:v>
                </c:pt>
                <c:pt idx="8">
                  <c:v>unknown</c:v>
                </c:pt>
              </c:strCache>
            </c:strRef>
          </c:cat>
          <c:val>
            <c:numRef>
              <c:f>pivot!$F$26:$F$35</c:f>
              <c:numCache>
                <c:formatCode>General</c:formatCode>
                <c:ptCount val="9"/>
                <c:pt idx="0">
                  <c:v>22</c:v>
                </c:pt>
                <c:pt idx="1">
                  <c:v>18</c:v>
                </c:pt>
                <c:pt idx="2">
                  <c:v>1</c:v>
                </c:pt>
                <c:pt idx="3">
                  <c:v>24</c:v>
                </c:pt>
                <c:pt idx="4">
                  <c:v>5</c:v>
                </c:pt>
                <c:pt idx="5">
                  <c:v>37</c:v>
                </c:pt>
                <c:pt idx="6">
                  <c:v>35</c:v>
                </c:pt>
                <c:pt idx="7">
                  <c:v>103</c:v>
                </c:pt>
                <c:pt idx="8">
                  <c:v>5</c:v>
                </c:pt>
              </c:numCache>
            </c:numRef>
          </c:val>
          <c:extLst>
            <c:ext xmlns:c16="http://schemas.microsoft.com/office/drawing/2014/chart" uri="{C3380CC4-5D6E-409C-BE32-E72D297353CC}">
              <c16:uniqueId val="{00000000-2E94-4B32-A46C-41196C80C4CC}"/>
            </c:ext>
          </c:extLst>
        </c:ser>
        <c:dLbls>
          <c:dLblPos val="outEnd"/>
          <c:showLegendKey val="0"/>
          <c:showVal val="1"/>
          <c:showCatName val="0"/>
          <c:showSerName val="0"/>
          <c:showPercent val="0"/>
          <c:showBubbleSize val="0"/>
        </c:dLbls>
        <c:gapWidth val="219"/>
        <c:overlap val="-27"/>
        <c:axId val="161172575"/>
        <c:axId val="161173535"/>
      </c:barChart>
      <c:catAx>
        <c:axId val="1611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173535"/>
        <c:crosses val="autoZero"/>
        <c:auto val="1"/>
        <c:lblAlgn val="ctr"/>
        <c:lblOffset val="100"/>
        <c:noMultiLvlLbl val="0"/>
      </c:catAx>
      <c:valAx>
        <c:axId val="16117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17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12</xdr:row>
      <xdr:rowOff>9525</xdr:rowOff>
    </xdr:from>
    <xdr:to>
      <xdr:col>2</xdr:col>
      <xdr:colOff>635453</xdr:colOff>
      <xdr:row>16</xdr:row>
      <xdr:rowOff>28574</xdr:rowOff>
    </xdr:to>
    <mc:AlternateContent xmlns:mc="http://schemas.openxmlformats.org/markup-compatibility/2006" xmlns:a14="http://schemas.microsoft.com/office/drawing/2010/main">
      <mc:Choice Requires="a14">
        <xdr:graphicFrame macro="">
          <xdr:nvGraphicFramePr>
            <xdr:cNvPr id="19" name="Century">
              <a:extLst>
                <a:ext uri="{FF2B5EF4-FFF2-40B4-BE49-F238E27FC236}">
                  <a16:creationId xmlns:a16="http://schemas.microsoft.com/office/drawing/2014/main" id="{691EA495-6F26-4772-2954-46D996EDD4B8}"/>
                </a:ext>
              </a:extLst>
            </xdr:cNvPr>
            <xdr:cNvGraphicFramePr/>
          </xdr:nvGraphicFramePr>
          <xdr:xfrm>
            <a:off x="0" y="0"/>
            <a:ext cx="0" cy="0"/>
          </xdr:xfrm>
          <a:graphic>
            <a:graphicData uri="http://schemas.microsoft.com/office/drawing/2010/slicer">
              <sle:slicer xmlns:sle="http://schemas.microsoft.com/office/drawing/2010/slicer" name="Century"/>
            </a:graphicData>
          </a:graphic>
        </xdr:graphicFrame>
      </mc:Choice>
      <mc:Fallback xmlns="">
        <xdr:sp macro="" textlink="">
          <xdr:nvSpPr>
            <xdr:cNvPr id="0" name=""/>
            <xdr:cNvSpPr>
              <a:spLocks noTextEdit="1"/>
            </xdr:cNvSpPr>
          </xdr:nvSpPr>
          <xdr:spPr>
            <a:xfrm>
              <a:off x="1751239" y="2377168"/>
              <a:ext cx="1823357"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61195</xdr:colOff>
      <xdr:row>2</xdr:row>
      <xdr:rowOff>20131</xdr:rowOff>
    </xdr:from>
    <xdr:to>
      <xdr:col>16</xdr:col>
      <xdr:colOff>366347</xdr:colOff>
      <xdr:row>4</xdr:row>
      <xdr:rowOff>184129</xdr:rowOff>
    </xdr:to>
    <xdr:grpSp>
      <xdr:nvGrpSpPr>
        <xdr:cNvPr id="45" name="Group 44">
          <a:extLst>
            <a:ext uri="{FF2B5EF4-FFF2-40B4-BE49-F238E27FC236}">
              <a16:creationId xmlns:a16="http://schemas.microsoft.com/office/drawing/2014/main" id="{1D5703AF-C20A-667B-469F-8FB69317293E}"/>
            </a:ext>
          </a:extLst>
        </xdr:cNvPr>
        <xdr:cNvGrpSpPr/>
      </xdr:nvGrpSpPr>
      <xdr:grpSpPr>
        <a:xfrm>
          <a:off x="61195" y="401131"/>
          <a:ext cx="10192102" cy="544998"/>
          <a:chOff x="31887" y="34785"/>
          <a:chExt cx="9094463" cy="544998"/>
        </a:xfrm>
      </xdr:grpSpPr>
      <xdr:grpSp>
        <xdr:nvGrpSpPr>
          <xdr:cNvPr id="44" name="Group 43">
            <a:extLst>
              <a:ext uri="{FF2B5EF4-FFF2-40B4-BE49-F238E27FC236}">
                <a16:creationId xmlns:a16="http://schemas.microsoft.com/office/drawing/2014/main" id="{9F4EF4DB-E126-97BD-9C5E-6530B85E2887}"/>
              </a:ext>
            </a:extLst>
          </xdr:cNvPr>
          <xdr:cNvGrpSpPr/>
        </xdr:nvGrpSpPr>
        <xdr:grpSpPr>
          <a:xfrm>
            <a:off x="31887" y="34785"/>
            <a:ext cx="5182648" cy="544998"/>
            <a:chOff x="31887" y="34785"/>
            <a:chExt cx="5182648" cy="544998"/>
          </a:xfrm>
        </xdr:grpSpPr>
        <xdr:sp macro="" textlink="">
          <xdr:nvSpPr>
            <xdr:cNvPr id="2" name="Rectangle: Rounded Corners 1">
              <a:extLst>
                <a:ext uri="{FF2B5EF4-FFF2-40B4-BE49-F238E27FC236}">
                  <a16:creationId xmlns:a16="http://schemas.microsoft.com/office/drawing/2014/main" id="{4BCB1716-D177-BC3D-721B-0F55FABAE9DE}"/>
                </a:ext>
              </a:extLst>
            </xdr:cNvPr>
            <xdr:cNvSpPr/>
          </xdr:nvSpPr>
          <xdr:spPr>
            <a:xfrm>
              <a:off x="31887" y="42238"/>
              <a:ext cx="1286353" cy="447263"/>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REF!">
          <xdr:nvSpPr>
            <xdr:cNvPr id="10" name="TextBox 9">
              <a:extLst>
                <a:ext uri="{FF2B5EF4-FFF2-40B4-BE49-F238E27FC236}">
                  <a16:creationId xmlns:a16="http://schemas.microsoft.com/office/drawing/2014/main" id="{FE09E418-6685-DA2C-3813-D38813D14B20}"/>
                </a:ext>
              </a:extLst>
            </xdr:cNvPr>
            <xdr:cNvSpPr txBox="1"/>
          </xdr:nvSpPr>
          <xdr:spPr>
            <a:xfrm>
              <a:off x="107155" y="85224"/>
              <a:ext cx="500247" cy="37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38A865-F642-43FF-A2D9-B7FE936264A7}" type="TxLink">
                <a:rPr lang="en-US" sz="1600" b="0" i="0" u="none" strike="noStrike">
                  <a:solidFill>
                    <a:srgbClr val="FFFFFF"/>
                  </a:solidFill>
                  <a:latin typeface="Calibri"/>
                  <a:cs typeface="Calibri"/>
                </a:rPr>
                <a:pPr/>
                <a:t>250</a:t>
              </a:fld>
              <a:endParaRPr lang="en-US" sz="2400">
                <a:solidFill>
                  <a:schemeClr val="bg1"/>
                </a:solidFill>
              </a:endParaRPr>
            </a:p>
          </xdr:txBody>
        </xdr:sp>
        <xdr:sp macro="" textlink="">
          <xdr:nvSpPr>
            <xdr:cNvPr id="11" name="TextBox 10">
              <a:extLst>
                <a:ext uri="{FF2B5EF4-FFF2-40B4-BE49-F238E27FC236}">
                  <a16:creationId xmlns:a16="http://schemas.microsoft.com/office/drawing/2014/main" id="{77CCA9AD-4B75-428B-8DC1-9530E02584C3}"/>
                </a:ext>
              </a:extLst>
            </xdr:cNvPr>
            <xdr:cNvSpPr txBox="1"/>
          </xdr:nvSpPr>
          <xdr:spPr>
            <a:xfrm>
              <a:off x="580810" y="70184"/>
              <a:ext cx="626920" cy="48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Num of</a:t>
              </a:r>
            </a:p>
            <a:p>
              <a:r>
                <a:rPr lang="en-US" sz="1000" b="1">
                  <a:solidFill>
                    <a:schemeClr val="bg1"/>
                  </a:solidFill>
                </a:rPr>
                <a:t>movies</a:t>
              </a:r>
              <a:endParaRPr lang="en-US" sz="800" b="1">
                <a:solidFill>
                  <a:schemeClr val="bg1"/>
                </a:solidFill>
              </a:endParaRPr>
            </a:p>
          </xdr:txBody>
        </xdr:sp>
        <xdr:grpSp>
          <xdr:nvGrpSpPr>
            <xdr:cNvPr id="43" name="Group 42">
              <a:extLst>
                <a:ext uri="{FF2B5EF4-FFF2-40B4-BE49-F238E27FC236}">
                  <a16:creationId xmlns:a16="http://schemas.microsoft.com/office/drawing/2014/main" id="{EBF6A321-1E52-A604-AF1F-4D2FB7BAC292}"/>
                </a:ext>
              </a:extLst>
            </xdr:cNvPr>
            <xdr:cNvGrpSpPr/>
          </xdr:nvGrpSpPr>
          <xdr:grpSpPr>
            <a:xfrm>
              <a:off x="1336877" y="34785"/>
              <a:ext cx="3877658" cy="544998"/>
              <a:chOff x="1336877" y="34785"/>
              <a:chExt cx="3877658" cy="544998"/>
            </a:xfrm>
          </xdr:grpSpPr>
          <xdr:sp macro="" textlink="">
            <xdr:nvSpPr>
              <xdr:cNvPr id="4" name="Rectangle: Rounded Corners 3">
                <a:extLst>
                  <a:ext uri="{FF2B5EF4-FFF2-40B4-BE49-F238E27FC236}">
                    <a16:creationId xmlns:a16="http://schemas.microsoft.com/office/drawing/2014/main" id="{455C6421-B31A-414A-BD1D-40235E928290}"/>
                  </a:ext>
                </a:extLst>
              </xdr:cNvPr>
              <xdr:cNvSpPr/>
            </xdr:nvSpPr>
            <xdr:spPr>
              <a:xfrm>
                <a:off x="1336877" y="40582"/>
                <a:ext cx="1282530" cy="4505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REF!">
            <xdr:nvSpPr>
              <xdr:cNvPr id="12" name="TextBox 11">
                <a:extLst>
                  <a:ext uri="{FF2B5EF4-FFF2-40B4-BE49-F238E27FC236}">
                    <a16:creationId xmlns:a16="http://schemas.microsoft.com/office/drawing/2014/main" id="{95F204E5-8A6F-4773-9F6D-53177C16BFE9}"/>
                  </a:ext>
                </a:extLst>
              </xdr:cNvPr>
              <xdr:cNvSpPr txBox="1"/>
            </xdr:nvSpPr>
            <xdr:spPr>
              <a:xfrm>
                <a:off x="1367936" y="72632"/>
                <a:ext cx="592812"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AC409B-393F-4921-A3D2-B07D1680A10D}" type="TxLink">
                  <a:rPr lang="en-US" sz="1700" b="0" i="0" u="none" strike="noStrike">
                    <a:solidFill>
                      <a:srgbClr val="FFFFFF"/>
                    </a:solidFill>
                    <a:latin typeface="Calibri"/>
                    <a:cs typeface="Calibri"/>
                  </a:rPr>
                  <a:pPr/>
                  <a:t>131</a:t>
                </a:fld>
                <a:endParaRPr lang="en-US" sz="1700" b="0">
                  <a:solidFill>
                    <a:schemeClr val="bg1"/>
                  </a:solidFill>
                </a:endParaRPr>
              </a:p>
            </xdr:txBody>
          </xdr:sp>
          <xdr:sp macro="" textlink="">
            <xdr:nvSpPr>
              <xdr:cNvPr id="13" name="TextBox 12">
                <a:extLst>
                  <a:ext uri="{FF2B5EF4-FFF2-40B4-BE49-F238E27FC236}">
                    <a16:creationId xmlns:a16="http://schemas.microsoft.com/office/drawing/2014/main" id="{599797A5-C407-46F6-A0C9-9C8A57FE9A2D}"/>
                  </a:ext>
                </a:extLst>
              </xdr:cNvPr>
              <xdr:cNvSpPr txBox="1"/>
            </xdr:nvSpPr>
            <xdr:spPr>
              <a:xfrm>
                <a:off x="1835266" y="57147"/>
                <a:ext cx="824725" cy="52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AVG</a:t>
                </a:r>
                <a:r>
                  <a:rPr lang="en-US" sz="1000" b="1" baseline="0">
                    <a:solidFill>
                      <a:schemeClr val="bg1"/>
                    </a:solidFill>
                  </a:rPr>
                  <a:t> Movie</a:t>
                </a:r>
              </a:p>
              <a:p>
                <a:r>
                  <a:rPr lang="en-US" sz="1000" b="1" baseline="0">
                    <a:solidFill>
                      <a:schemeClr val="bg1"/>
                    </a:solidFill>
                  </a:rPr>
                  <a:t>Duratuon</a:t>
                </a:r>
                <a:endParaRPr lang="en-US" sz="800" b="1">
                  <a:solidFill>
                    <a:schemeClr val="bg1"/>
                  </a:solidFill>
                </a:endParaRPr>
              </a:p>
            </xdr:txBody>
          </xdr:sp>
          <xdr:grpSp>
            <xdr:nvGrpSpPr>
              <xdr:cNvPr id="42" name="Group 41">
                <a:extLst>
                  <a:ext uri="{FF2B5EF4-FFF2-40B4-BE49-F238E27FC236}">
                    <a16:creationId xmlns:a16="http://schemas.microsoft.com/office/drawing/2014/main" id="{83275224-3700-1752-3E2E-7047935BC0D1}"/>
                  </a:ext>
                </a:extLst>
              </xdr:cNvPr>
              <xdr:cNvGrpSpPr/>
            </xdr:nvGrpSpPr>
            <xdr:grpSpPr>
              <a:xfrm>
                <a:off x="2636921" y="34785"/>
                <a:ext cx="2577614" cy="463447"/>
                <a:chOff x="2636921" y="34785"/>
                <a:chExt cx="2577614" cy="463447"/>
              </a:xfrm>
            </xdr:grpSpPr>
            <xdr:sp macro="" textlink="">
              <xdr:nvSpPr>
                <xdr:cNvPr id="5" name="Rectangle: Rounded Corners 4">
                  <a:extLst>
                    <a:ext uri="{FF2B5EF4-FFF2-40B4-BE49-F238E27FC236}">
                      <a16:creationId xmlns:a16="http://schemas.microsoft.com/office/drawing/2014/main" id="{B697A9B7-FE30-4C65-BF9F-E3A012E98E70}"/>
                    </a:ext>
                  </a:extLst>
                </xdr:cNvPr>
                <xdr:cNvSpPr/>
              </xdr:nvSpPr>
              <xdr:spPr>
                <a:xfrm>
                  <a:off x="2636921" y="36442"/>
                  <a:ext cx="1282530" cy="458855"/>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REF!">
              <xdr:nvSpPr>
                <xdr:cNvPr id="14" name="TextBox 13">
                  <a:extLst>
                    <a:ext uri="{FF2B5EF4-FFF2-40B4-BE49-F238E27FC236}">
                      <a16:creationId xmlns:a16="http://schemas.microsoft.com/office/drawing/2014/main" id="{BC6E4046-5F37-4148-8FD7-1B1E89F85C8C}"/>
                    </a:ext>
                  </a:extLst>
                </xdr:cNvPr>
                <xdr:cNvSpPr txBox="1"/>
              </xdr:nvSpPr>
              <xdr:spPr>
                <a:xfrm>
                  <a:off x="2702132" y="95059"/>
                  <a:ext cx="592812"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072D84-7803-4A57-8F29-BEE290F6079E}" type="TxLink">
                    <a:rPr lang="en-US" sz="1500" b="0" i="0" u="none" strike="noStrike">
                      <a:solidFill>
                        <a:srgbClr val="FFFFFF"/>
                      </a:solidFill>
                      <a:latin typeface="Calibri"/>
                      <a:cs typeface="Calibri"/>
                    </a:rPr>
                    <a:pPr/>
                    <a:t>1921</a:t>
                  </a:fld>
                  <a:endParaRPr lang="en-US" sz="1500" b="0">
                    <a:solidFill>
                      <a:schemeClr val="bg1"/>
                    </a:solidFill>
                  </a:endParaRPr>
                </a:p>
              </xdr:txBody>
            </xdr:sp>
            <xdr:sp macro="" textlink="">
              <xdr:nvSpPr>
                <xdr:cNvPr id="15" name="TextBox 14">
                  <a:extLst>
                    <a:ext uri="{FF2B5EF4-FFF2-40B4-BE49-F238E27FC236}">
                      <a16:creationId xmlns:a16="http://schemas.microsoft.com/office/drawing/2014/main" id="{F34A5107-8C5D-46FA-B23E-F12206F20B0D}"/>
                    </a:ext>
                  </a:extLst>
                </xdr:cNvPr>
                <xdr:cNvSpPr txBox="1"/>
              </xdr:nvSpPr>
              <xdr:spPr>
                <a:xfrm>
                  <a:off x="3244322" y="43770"/>
                  <a:ext cx="565678" cy="45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Oldest</a:t>
                  </a:r>
                  <a:br>
                    <a:rPr lang="en-US" sz="1100" b="1">
                      <a:solidFill>
                        <a:schemeClr val="bg1"/>
                      </a:solidFill>
                    </a:rPr>
                  </a:br>
                  <a:r>
                    <a:rPr lang="en-US" sz="1100" b="1">
                      <a:solidFill>
                        <a:schemeClr val="bg1"/>
                      </a:solidFill>
                    </a:rPr>
                    <a:t>Movie</a:t>
                  </a:r>
                  <a:endParaRPr lang="en-US" sz="1000" b="1">
                    <a:solidFill>
                      <a:schemeClr val="bg1"/>
                    </a:solidFill>
                  </a:endParaRPr>
                </a:p>
              </xdr:txBody>
            </xdr:sp>
            <xdr:grpSp>
              <xdr:nvGrpSpPr>
                <xdr:cNvPr id="41" name="Group 40">
                  <a:extLst>
                    <a:ext uri="{FF2B5EF4-FFF2-40B4-BE49-F238E27FC236}">
                      <a16:creationId xmlns:a16="http://schemas.microsoft.com/office/drawing/2014/main" id="{5E9B4778-954C-ABCA-83DF-17FA8F2AC750}"/>
                    </a:ext>
                  </a:extLst>
                </xdr:cNvPr>
                <xdr:cNvGrpSpPr/>
              </xdr:nvGrpSpPr>
              <xdr:grpSpPr>
                <a:xfrm>
                  <a:off x="3932005" y="34785"/>
                  <a:ext cx="1282530" cy="462168"/>
                  <a:chOff x="3932005" y="34785"/>
                  <a:chExt cx="1282530" cy="462168"/>
                </a:xfrm>
              </xdr:grpSpPr>
              <xdr:sp macro="" textlink="">
                <xdr:nvSpPr>
                  <xdr:cNvPr id="6" name="Rectangle: Rounded Corners 5">
                    <a:extLst>
                      <a:ext uri="{FF2B5EF4-FFF2-40B4-BE49-F238E27FC236}">
                        <a16:creationId xmlns:a16="http://schemas.microsoft.com/office/drawing/2014/main" id="{7A876A4C-FCDA-4D8D-849E-75D740119EE8}"/>
                      </a:ext>
                    </a:extLst>
                  </xdr:cNvPr>
                  <xdr:cNvSpPr/>
                </xdr:nvSpPr>
                <xdr:spPr>
                  <a:xfrm>
                    <a:off x="3932005" y="34785"/>
                    <a:ext cx="1282530" cy="46216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16" name="TextBox 15">
                    <a:extLst>
                      <a:ext uri="{FF2B5EF4-FFF2-40B4-BE49-F238E27FC236}">
                        <a16:creationId xmlns:a16="http://schemas.microsoft.com/office/drawing/2014/main" id="{875BCEFE-7957-41FA-BA82-7D301FC4C2D0}"/>
                      </a:ext>
                    </a:extLst>
                  </xdr:cNvPr>
                  <xdr:cNvSpPr txBox="1"/>
                </xdr:nvSpPr>
                <xdr:spPr>
                  <a:xfrm>
                    <a:off x="4578972" y="34785"/>
                    <a:ext cx="565678" cy="45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Latest</a:t>
                    </a:r>
                    <a:br>
                      <a:rPr lang="en-US" sz="1100" b="1">
                        <a:solidFill>
                          <a:schemeClr val="bg1"/>
                        </a:solidFill>
                      </a:rPr>
                    </a:br>
                    <a:r>
                      <a:rPr lang="en-US" sz="1100" b="1">
                        <a:solidFill>
                          <a:schemeClr val="bg1"/>
                        </a:solidFill>
                      </a:rPr>
                      <a:t>Movie</a:t>
                    </a:r>
                    <a:endParaRPr lang="en-US" sz="1000" b="1">
                      <a:solidFill>
                        <a:schemeClr val="bg1"/>
                      </a:solidFill>
                    </a:endParaRPr>
                  </a:p>
                </xdr:txBody>
              </xdr:sp>
              <xdr:sp macro="" textlink="#REF!">
                <xdr:nvSpPr>
                  <xdr:cNvPr id="17" name="TextBox 16">
                    <a:extLst>
                      <a:ext uri="{FF2B5EF4-FFF2-40B4-BE49-F238E27FC236}">
                        <a16:creationId xmlns:a16="http://schemas.microsoft.com/office/drawing/2014/main" id="{7AEFEC87-C3F7-49A6-881C-1333C702E34A}"/>
                      </a:ext>
                    </a:extLst>
                  </xdr:cNvPr>
                  <xdr:cNvSpPr txBox="1"/>
                </xdr:nvSpPr>
                <xdr:spPr>
                  <a:xfrm>
                    <a:off x="3992819" y="93400"/>
                    <a:ext cx="592812"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B357D5-FF45-464E-9F81-E5BD135CEF3F}" type="TxLink">
                      <a:rPr lang="en-US" sz="1500" b="0" i="0" u="none" strike="noStrike">
                        <a:solidFill>
                          <a:srgbClr val="FFFFFF"/>
                        </a:solidFill>
                        <a:latin typeface="Calibri"/>
                        <a:cs typeface="Calibri"/>
                      </a:rPr>
                      <a:pPr/>
                      <a:t>2025</a:t>
                    </a:fld>
                    <a:endParaRPr lang="en-US" sz="1500" b="0">
                      <a:solidFill>
                        <a:schemeClr val="bg1"/>
                      </a:solidFill>
                    </a:endParaRPr>
                  </a:p>
                </xdr:txBody>
              </xdr:sp>
            </xdr:grpSp>
          </xdr:grpSp>
        </xdr:grpSp>
      </xdr:grpSp>
      <xdr:grpSp>
        <xdr:nvGrpSpPr>
          <xdr:cNvPr id="40" name="Group 39">
            <a:extLst>
              <a:ext uri="{FF2B5EF4-FFF2-40B4-BE49-F238E27FC236}">
                <a16:creationId xmlns:a16="http://schemas.microsoft.com/office/drawing/2014/main" id="{30A54DBF-9BFA-639D-1943-178FE507DAC5}"/>
              </a:ext>
            </a:extLst>
          </xdr:cNvPr>
          <xdr:cNvGrpSpPr/>
        </xdr:nvGrpSpPr>
        <xdr:grpSpPr>
          <a:xfrm>
            <a:off x="5239382" y="34786"/>
            <a:ext cx="1282530" cy="462167"/>
            <a:chOff x="5239382" y="34786"/>
            <a:chExt cx="1282530" cy="462167"/>
          </a:xfrm>
        </xdr:grpSpPr>
        <xdr:sp macro="" textlink="">
          <xdr:nvSpPr>
            <xdr:cNvPr id="7" name="Rectangle: Rounded Corners 6">
              <a:extLst>
                <a:ext uri="{FF2B5EF4-FFF2-40B4-BE49-F238E27FC236}">
                  <a16:creationId xmlns:a16="http://schemas.microsoft.com/office/drawing/2014/main" id="{E69A3EE3-38A3-4BF5-9CFC-23B892E3DCC5}"/>
                </a:ext>
              </a:extLst>
            </xdr:cNvPr>
            <xdr:cNvSpPr/>
          </xdr:nvSpPr>
          <xdr:spPr>
            <a:xfrm>
              <a:off x="5239382" y="34786"/>
              <a:ext cx="1282530" cy="462167"/>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18" name="TextBox 17">
              <a:extLst>
                <a:ext uri="{FF2B5EF4-FFF2-40B4-BE49-F238E27FC236}">
                  <a16:creationId xmlns:a16="http://schemas.microsoft.com/office/drawing/2014/main" id="{20A89AB7-EBCE-4FE1-963F-4ACA65D0DFC6}"/>
                </a:ext>
              </a:extLst>
            </xdr:cNvPr>
            <xdr:cNvSpPr txBox="1"/>
          </xdr:nvSpPr>
          <xdr:spPr>
            <a:xfrm>
              <a:off x="5828465" y="34786"/>
              <a:ext cx="633879" cy="45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Highest</a:t>
              </a:r>
            </a:p>
            <a:p>
              <a:r>
                <a:rPr lang="en-US" sz="1100" b="1">
                  <a:solidFill>
                    <a:schemeClr val="bg1"/>
                  </a:solidFill>
                </a:rPr>
                <a:t>Rating</a:t>
              </a:r>
              <a:endParaRPr lang="en-US" sz="1000" b="1">
                <a:solidFill>
                  <a:schemeClr val="bg1"/>
                </a:solidFill>
              </a:endParaRPr>
            </a:p>
          </xdr:txBody>
        </xdr:sp>
        <xdr:sp macro="" textlink="#REF!">
          <xdr:nvSpPr>
            <xdr:cNvPr id="22" name="TextBox 21">
              <a:extLst>
                <a:ext uri="{FF2B5EF4-FFF2-40B4-BE49-F238E27FC236}">
                  <a16:creationId xmlns:a16="http://schemas.microsoft.com/office/drawing/2014/main" id="{DFB5CD02-B74A-4BB0-96E0-3F4714BC18F0}"/>
                </a:ext>
              </a:extLst>
            </xdr:cNvPr>
            <xdr:cNvSpPr txBox="1"/>
          </xdr:nvSpPr>
          <xdr:spPr>
            <a:xfrm>
              <a:off x="5325106" y="78748"/>
              <a:ext cx="595047"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9BBD46-F00E-4A93-8785-39ECBE10D07E}" type="TxLink">
                <a:rPr lang="en-US" sz="1800" b="0" i="0" u="none" strike="noStrike">
                  <a:solidFill>
                    <a:srgbClr val="FFFFFF"/>
                  </a:solidFill>
                  <a:latin typeface="Calibri"/>
                  <a:cs typeface="Calibri"/>
                </a:rPr>
                <a:pPr/>
                <a:t>9.3</a:t>
              </a:fld>
              <a:endParaRPr lang="en-US" sz="1800" b="0">
                <a:solidFill>
                  <a:schemeClr val="bg1"/>
                </a:solidFill>
              </a:endParaRPr>
            </a:p>
          </xdr:txBody>
        </xdr:sp>
      </xdr:grpSp>
      <xdr:grpSp>
        <xdr:nvGrpSpPr>
          <xdr:cNvPr id="39" name="Group 38">
            <a:extLst>
              <a:ext uri="{FF2B5EF4-FFF2-40B4-BE49-F238E27FC236}">
                <a16:creationId xmlns:a16="http://schemas.microsoft.com/office/drawing/2014/main" id="{4D7FD804-7A60-4FD5-9E29-1FCE3FB5077F}"/>
              </a:ext>
            </a:extLst>
          </xdr:cNvPr>
          <xdr:cNvGrpSpPr/>
        </xdr:nvGrpSpPr>
        <xdr:grpSpPr>
          <a:xfrm>
            <a:off x="6540549" y="35616"/>
            <a:ext cx="2585801" cy="543211"/>
            <a:chOff x="6540549" y="35616"/>
            <a:chExt cx="2585801" cy="543211"/>
          </a:xfrm>
        </xdr:grpSpPr>
        <xdr:sp macro="" textlink="">
          <xdr:nvSpPr>
            <xdr:cNvPr id="8" name="Rectangle: Rounded Corners 7">
              <a:extLst>
                <a:ext uri="{FF2B5EF4-FFF2-40B4-BE49-F238E27FC236}">
                  <a16:creationId xmlns:a16="http://schemas.microsoft.com/office/drawing/2014/main" id="{6A1667BF-253F-4E11-B981-5036E1E46904}"/>
                </a:ext>
              </a:extLst>
            </xdr:cNvPr>
            <xdr:cNvSpPr/>
          </xdr:nvSpPr>
          <xdr:spPr>
            <a:xfrm>
              <a:off x="6540549" y="38100"/>
              <a:ext cx="1282531" cy="460509"/>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19" name="TextBox 18">
              <a:extLst>
                <a:ext uri="{FF2B5EF4-FFF2-40B4-BE49-F238E27FC236}">
                  <a16:creationId xmlns:a16="http://schemas.microsoft.com/office/drawing/2014/main" id="{BE10FE0B-A934-4F66-A13A-39E37EE2DBAD}"/>
                </a:ext>
              </a:extLst>
            </xdr:cNvPr>
            <xdr:cNvSpPr txBox="1"/>
          </xdr:nvSpPr>
          <xdr:spPr>
            <a:xfrm>
              <a:off x="7139897" y="38100"/>
              <a:ext cx="597334" cy="45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Lowest</a:t>
              </a:r>
              <a:br>
                <a:rPr lang="en-US" sz="1100" b="1">
                  <a:solidFill>
                    <a:schemeClr val="bg1"/>
                  </a:solidFill>
                </a:rPr>
              </a:br>
              <a:r>
                <a:rPr lang="en-US" sz="1100" b="1">
                  <a:solidFill>
                    <a:schemeClr val="bg1"/>
                  </a:solidFill>
                </a:rPr>
                <a:t>Rating</a:t>
              </a:r>
              <a:endParaRPr lang="en-US" sz="1000" b="1">
                <a:solidFill>
                  <a:schemeClr val="bg1"/>
                </a:solidFill>
              </a:endParaRPr>
            </a:p>
          </xdr:txBody>
        </xdr:sp>
        <xdr:sp macro="" textlink="#REF!">
          <xdr:nvSpPr>
            <xdr:cNvPr id="23" name="TextBox 22">
              <a:extLst>
                <a:ext uri="{FF2B5EF4-FFF2-40B4-BE49-F238E27FC236}">
                  <a16:creationId xmlns:a16="http://schemas.microsoft.com/office/drawing/2014/main" id="{528FE580-FC7E-4E41-8288-4C2AE84E6CDA}"/>
                </a:ext>
              </a:extLst>
            </xdr:cNvPr>
            <xdr:cNvSpPr txBox="1"/>
          </xdr:nvSpPr>
          <xdr:spPr>
            <a:xfrm>
              <a:off x="6632199" y="70406"/>
              <a:ext cx="495566" cy="34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53F7ED-67D6-42D2-AB0E-57206F9F4F64}" type="TxLink">
                <a:rPr lang="en-US" sz="1800" b="0" i="0" u="none" strike="noStrike">
                  <a:solidFill>
                    <a:srgbClr val="FFFFFF"/>
                  </a:solidFill>
                  <a:latin typeface="Calibri"/>
                  <a:cs typeface="Calibri"/>
                </a:rPr>
                <a:pPr/>
                <a:t>8.0</a:t>
              </a:fld>
              <a:endParaRPr lang="en-US" sz="1800" b="0">
                <a:solidFill>
                  <a:schemeClr val="bg1"/>
                </a:solidFill>
              </a:endParaRPr>
            </a:p>
          </xdr:txBody>
        </xdr:sp>
        <xdr:grpSp>
          <xdr:nvGrpSpPr>
            <xdr:cNvPr id="38" name="Group 37">
              <a:extLst>
                <a:ext uri="{FF2B5EF4-FFF2-40B4-BE49-F238E27FC236}">
                  <a16:creationId xmlns:a16="http://schemas.microsoft.com/office/drawing/2014/main" id="{ED854C8C-1B8F-BD65-C15C-4477B5436825}"/>
                </a:ext>
              </a:extLst>
            </xdr:cNvPr>
            <xdr:cNvGrpSpPr/>
          </xdr:nvGrpSpPr>
          <xdr:grpSpPr>
            <a:xfrm>
              <a:off x="7795491" y="35616"/>
              <a:ext cx="1330859" cy="543211"/>
              <a:chOff x="7795491" y="35616"/>
              <a:chExt cx="1330859" cy="543211"/>
            </a:xfrm>
          </xdr:grpSpPr>
          <xdr:sp macro="" textlink="">
            <xdr:nvSpPr>
              <xdr:cNvPr id="9" name="Rectangle: Rounded Corners 8">
                <a:extLst>
                  <a:ext uri="{FF2B5EF4-FFF2-40B4-BE49-F238E27FC236}">
                    <a16:creationId xmlns:a16="http://schemas.microsoft.com/office/drawing/2014/main" id="{00080CF9-7BEE-48BF-93AD-90A234320E62}"/>
                  </a:ext>
                </a:extLst>
              </xdr:cNvPr>
              <xdr:cNvSpPr/>
            </xdr:nvSpPr>
            <xdr:spPr>
              <a:xfrm>
                <a:off x="7841851" y="35616"/>
                <a:ext cx="1284395" cy="460506"/>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p>
            </xdr:txBody>
          </xdr:sp>
          <xdr:sp macro="" textlink="">
            <xdr:nvSpPr>
              <xdr:cNvPr id="20" name="TextBox 19">
                <a:extLst>
                  <a:ext uri="{FF2B5EF4-FFF2-40B4-BE49-F238E27FC236}">
                    <a16:creationId xmlns:a16="http://schemas.microsoft.com/office/drawing/2014/main" id="{37ADD223-BBC7-4FED-8C7D-3C70C5803FAE}"/>
                  </a:ext>
                </a:extLst>
              </xdr:cNvPr>
              <xdr:cNvSpPr txBox="1"/>
            </xdr:nvSpPr>
            <xdr:spPr>
              <a:xfrm>
                <a:off x="8463910" y="35616"/>
                <a:ext cx="662440" cy="543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AVG Number of</a:t>
                </a:r>
                <a:br>
                  <a:rPr lang="en-US" sz="800" b="1">
                    <a:solidFill>
                      <a:schemeClr val="bg1"/>
                    </a:solidFill>
                  </a:rPr>
                </a:br>
                <a:r>
                  <a:rPr lang="en-US" sz="800" b="1">
                    <a:solidFill>
                      <a:schemeClr val="bg1"/>
                    </a:solidFill>
                  </a:rPr>
                  <a:t>Votes</a:t>
                </a:r>
                <a:endParaRPr lang="en-US" sz="600" b="1">
                  <a:solidFill>
                    <a:schemeClr val="bg1"/>
                  </a:solidFill>
                </a:endParaRPr>
              </a:p>
            </xdr:txBody>
          </xdr:sp>
          <xdr:sp macro="" textlink="#REF!">
            <xdr:nvSpPr>
              <xdr:cNvPr id="24" name="TextBox 23">
                <a:extLst>
                  <a:ext uri="{FF2B5EF4-FFF2-40B4-BE49-F238E27FC236}">
                    <a16:creationId xmlns:a16="http://schemas.microsoft.com/office/drawing/2014/main" id="{C41753FD-6B95-4A7B-A622-877E9B134039}"/>
                  </a:ext>
                </a:extLst>
              </xdr:cNvPr>
              <xdr:cNvSpPr txBox="1"/>
            </xdr:nvSpPr>
            <xdr:spPr>
              <a:xfrm>
                <a:off x="7795491" y="149185"/>
                <a:ext cx="945528" cy="330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661A04-FA57-41D4-AFE8-0F57D7755B88}" type="TxLink">
                  <a:rPr lang="en-US" sz="900" b="1" i="0" u="none" strike="noStrike">
                    <a:solidFill>
                      <a:srgbClr val="FFFFFF"/>
                    </a:solidFill>
                    <a:latin typeface="Calibri"/>
                    <a:cs typeface="Calibri"/>
                  </a:rPr>
                  <a:pPr/>
                  <a:t> 432,295.60 </a:t>
                </a:fld>
                <a:endParaRPr lang="en-US" sz="1100" b="1">
                  <a:solidFill>
                    <a:schemeClr val="bg1"/>
                  </a:solidFill>
                </a:endParaRPr>
              </a:p>
            </xdr:txBody>
          </xdr:sp>
        </xdr:grpSp>
      </xdr:grpSp>
    </xdr:grpSp>
    <xdr:clientData/>
  </xdr:twoCellAnchor>
  <xdr:twoCellAnchor>
    <xdr:from>
      <xdr:col>0</xdr:col>
      <xdr:colOff>71004</xdr:colOff>
      <xdr:row>4</xdr:row>
      <xdr:rowOff>166998</xdr:rowOff>
    </xdr:from>
    <xdr:to>
      <xdr:col>7</xdr:col>
      <xdr:colOff>352425</xdr:colOff>
      <xdr:row>17</xdr:row>
      <xdr:rowOff>68036</xdr:rowOff>
    </xdr:to>
    <xdr:graphicFrame macro="">
      <xdr:nvGraphicFramePr>
        <xdr:cNvPr id="29" name="Chart 28">
          <a:extLst>
            <a:ext uri="{FF2B5EF4-FFF2-40B4-BE49-F238E27FC236}">
              <a16:creationId xmlns:a16="http://schemas.microsoft.com/office/drawing/2014/main" id="{9FEA514C-9AA8-4859-A979-8956DA85D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381835</xdr:colOff>
      <xdr:row>4</xdr:row>
      <xdr:rowOff>164224</xdr:rowOff>
    </xdr:from>
    <xdr:to>
      <xdr:col>10</xdr:col>
      <xdr:colOff>198662</xdr:colOff>
      <xdr:row>14</xdr:row>
      <xdr:rowOff>168519</xdr:rowOff>
    </xdr:to>
    <xdr:graphicFrame macro="">
      <xdr:nvGraphicFramePr>
        <xdr:cNvPr id="30" name="Chart 29">
          <a:extLst>
            <a:ext uri="{FF2B5EF4-FFF2-40B4-BE49-F238E27FC236}">
              <a16:creationId xmlns:a16="http://schemas.microsoft.com/office/drawing/2014/main" id="{148F578D-BD96-4303-AAB9-06BA67A00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70757</xdr:colOff>
      <xdr:row>17</xdr:row>
      <xdr:rowOff>93093</xdr:rowOff>
    </xdr:from>
    <xdr:to>
      <xdr:col>7</xdr:col>
      <xdr:colOff>352425</xdr:colOff>
      <xdr:row>26</xdr:row>
      <xdr:rowOff>132361</xdr:rowOff>
    </xdr:to>
    <xdr:graphicFrame macro="">
      <xdr:nvGraphicFramePr>
        <xdr:cNvPr id="31" name="Chart 30">
          <a:extLst>
            <a:ext uri="{FF2B5EF4-FFF2-40B4-BE49-F238E27FC236}">
              <a16:creationId xmlns:a16="http://schemas.microsoft.com/office/drawing/2014/main" id="{8EED9F09-7190-4F70-B4CC-F303BEF56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62060</xdr:colOff>
      <xdr:row>26</xdr:row>
      <xdr:rowOff>161941</xdr:rowOff>
    </xdr:from>
    <xdr:to>
      <xdr:col>7</xdr:col>
      <xdr:colOff>352425</xdr:colOff>
      <xdr:row>35</xdr:row>
      <xdr:rowOff>184317</xdr:rowOff>
    </xdr:to>
    <xdr:graphicFrame macro="">
      <xdr:nvGraphicFramePr>
        <xdr:cNvPr id="32" name="Chart 31">
          <a:extLst>
            <a:ext uri="{FF2B5EF4-FFF2-40B4-BE49-F238E27FC236}">
              <a16:creationId xmlns:a16="http://schemas.microsoft.com/office/drawing/2014/main" id="{D52644CE-F361-471D-A486-B9C020914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378343</xdr:colOff>
      <xdr:row>26</xdr:row>
      <xdr:rowOff>19051</xdr:rowOff>
    </xdr:from>
    <xdr:to>
      <xdr:col>16</xdr:col>
      <xdr:colOff>304800</xdr:colOff>
      <xdr:row>35</xdr:row>
      <xdr:rowOff>183287</xdr:rowOff>
    </xdr:to>
    <xdr:graphicFrame macro="">
      <xdr:nvGraphicFramePr>
        <xdr:cNvPr id="33" name="Chart 32">
          <a:extLst>
            <a:ext uri="{FF2B5EF4-FFF2-40B4-BE49-F238E27FC236}">
              <a16:creationId xmlns:a16="http://schemas.microsoft.com/office/drawing/2014/main" id="{5BE992B9-BB33-4D60-8441-EB542CB8E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383665</xdr:colOff>
      <xdr:row>15</xdr:row>
      <xdr:rowOff>8542</xdr:rowOff>
    </xdr:from>
    <xdr:to>
      <xdr:col>16</xdr:col>
      <xdr:colOff>304799</xdr:colOff>
      <xdr:row>25</xdr:row>
      <xdr:rowOff>182656</xdr:rowOff>
    </xdr:to>
    <xdr:graphicFrame macro="">
      <xdr:nvGraphicFramePr>
        <xdr:cNvPr id="34" name="Chart 33">
          <a:extLst>
            <a:ext uri="{FF2B5EF4-FFF2-40B4-BE49-F238E27FC236}">
              <a16:creationId xmlns:a16="http://schemas.microsoft.com/office/drawing/2014/main" id="{3D357089-C2CD-4CF9-ACBC-016A9B3EE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226156</xdr:colOff>
      <xdr:row>4</xdr:row>
      <xdr:rowOff>167070</xdr:rowOff>
    </xdr:from>
    <xdr:to>
      <xdr:col>12</xdr:col>
      <xdr:colOff>571500</xdr:colOff>
      <xdr:row>9</xdr:row>
      <xdr:rowOff>124558</xdr:rowOff>
    </xdr:to>
    <mc:AlternateContent xmlns:mc="http://schemas.openxmlformats.org/markup-compatibility/2006" xmlns:a14="http://schemas.microsoft.com/office/drawing/2010/main">
      <mc:Choice Requires="a14">
        <xdr:graphicFrame macro="">
          <xdr:nvGraphicFramePr>
            <xdr:cNvPr id="35" name="Century 1">
              <a:extLst>
                <a:ext uri="{FF2B5EF4-FFF2-40B4-BE49-F238E27FC236}">
                  <a16:creationId xmlns:a16="http://schemas.microsoft.com/office/drawing/2014/main" id="{D2F2617D-465C-4AB9-ACE7-7A3A87F96805}"/>
                </a:ext>
              </a:extLst>
            </xdr:cNvPr>
            <xdr:cNvGraphicFramePr/>
          </xdr:nvGraphicFramePr>
          <xdr:xfrm>
            <a:off x="0" y="0"/>
            <a:ext cx="0" cy="0"/>
          </xdr:xfrm>
          <a:graphic>
            <a:graphicData uri="http://schemas.microsoft.com/office/drawing/2010/slicer">
              <sle:slicer xmlns:sle="http://schemas.microsoft.com/office/drawing/2010/slicer" name="Century 1"/>
            </a:graphicData>
          </a:graphic>
        </xdr:graphicFrame>
      </mc:Choice>
      <mc:Fallback xmlns="">
        <xdr:sp macro="" textlink="">
          <xdr:nvSpPr>
            <xdr:cNvPr id="0" name=""/>
            <xdr:cNvSpPr>
              <a:spLocks noTextEdit="1"/>
            </xdr:cNvSpPr>
          </xdr:nvSpPr>
          <xdr:spPr>
            <a:xfrm>
              <a:off x="6270201" y="929070"/>
              <a:ext cx="1557617" cy="909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227134</xdr:colOff>
      <xdr:row>9</xdr:row>
      <xdr:rowOff>154781</xdr:rowOff>
    </xdr:from>
    <xdr:to>
      <xdr:col>12</xdr:col>
      <xdr:colOff>576513</xdr:colOff>
      <xdr:row>14</xdr:row>
      <xdr:rowOff>170793</xdr:rowOff>
    </xdr:to>
    <mc:AlternateContent xmlns:mc="http://schemas.openxmlformats.org/markup-compatibility/2006" xmlns:a14="http://schemas.microsoft.com/office/drawing/2010/main">
      <mc:Choice Requires="a14">
        <xdr:graphicFrame macro="">
          <xdr:nvGraphicFramePr>
            <xdr:cNvPr id="36" name="Duration_Level">
              <a:extLst>
                <a:ext uri="{FF2B5EF4-FFF2-40B4-BE49-F238E27FC236}">
                  <a16:creationId xmlns:a16="http://schemas.microsoft.com/office/drawing/2014/main" id="{F23D4B99-29E4-42C1-96A6-BC158D4D118B}"/>
                </a:ext>
              </a:extLst>
            </xdr:cNvPr>
            <xdr:cNvGraphicFramePr/>
          </xdr:nvGraphicFramePr>
          <xdr:xfrm>
            <a:off x="0" y="0"/>
            <a:ext cx="0" cy="0"/>
          </xdr:xfrm>
          <a:graphic>
            <a:graphicData uri="http://schemas.microsoft.com/office/drawing/2010/slicer">
              <sle:slicer xmlns:sle="http://schemas.microsoft.com/office/drawing/2010/slicer" name="Duration_Level"/>
            </a:graphicData>
          </a:graphic>
        </xdr:graphicFrame>
      </mc:Choice>
      <mc:Fallback xmlns="">
        <xdr:sp macro="" textlink="">
          <xdr:nvSpPr>
            <xdr:cNvPr id="0" name=""/>
            <xdr:cNvSpPr>
              <a:spLocks noTextEdit="1"/>
            </xdr:cNvSpPr>
          </xdr:nvSpPr>
          <xdr:spPr>
            <a:xfrm>
              <a:off x="6271179" y="1869281"/>
              <a:ext cx="1561652" cy="968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606592</xdr:colOff>
      <xdr:row>4</xdr:row>
      <xdr:rowOff>167268</xdr:rowOff>
    </xdr:from>
    <xdr:to>
      <xdr:col>14</xdr:col>
      <xdr:colOff>130968</xdr:colOff>
      <xdr:row>14</xdr:row>
      <xdr:rowOff>170793</xdr:rowOff>
    </xdr:to>
    <mc:AlternateContent xmlns:mc="http://schemas.openxmlformats.org/markup-compatibility/2006" xmlns:a14="http://schemas.microsoft.com/office/drawing/2010/main">
      <mc:Choice Requires="a14">
        <xdr:graphicFrame macro="">
          <xdr:nvGraphicFramePr>
            <xdr:cNvPr id="37" name="Realse_Date">
              <a:extLst>
                <a:ext uri="{FF2B5EF4-FFF2-40B4-BE49-F238E27FC236}">
                  <a16:creationId xmlns:a16="http://schemas.microsoft.com/office/drawing/2014/main" id="{FA6BCD24-02B6-4824-BAF3-2CEE4DA96086}"/>
                </a:ext>
              </a:extLst>
            </xdr:cNvPr>
            <xdr:cNvGraphicFramePr/>
          </xdr:nvGraphicFramePr>
          <xdr:xfrm>
            <a:off x="0" y="0"/>
            <a:ext cx="0" cy="0"/>
          </xdr:xfrm>
          <a:graphic>
            <a:graphicData uri="http://schemas.microsoft.com/office/drawing/2010/slicer">
              <sle:slicer xmlns:sle="http://schemas.microsoft.com/office/drawing/2010/slicer" name="Realse_Date"/>
            </a:graphicData>
          </a:graphic>
        </xdr:graphicFrame>
      </mc:Choice>
      <mc:Fallback xmlns="">
        <xdr:sp macro="" textlink="">
          <xdr:nvSpPr>
            <xdr:cNvPr id="0" name=""/>
            <xdr:cNvSpPr>
              <a:spLocks noTextEdit="1"/>
            </xdr:cNvSpPr>
          </xdr:nvSpPr>
          <xdr:spPr>
            <a:xfrm>
              <a:off x="7862910" y="929268"/>
              <a:ext cx="909831" cy="1908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161925</xdr:colOff>
      <xdr:row>4</xdr:row>
      <xdr:rowOff>161925</xdr:rowOff>
    </xdr:from>
    <xdr:to>
      <xdr:col>16</xdr:col>
      <xdr:colOff>309704</xdr:colOff>
      <xdr:row>14</xdr:row>
      <xdr:rowOff>164956</xdr:rowOff>
    </xdr:to>
    <mc:AlternateContent xmlns:mc="http://schemas.openxmlformats.org/markup-compatibility/2006">
      <mc:Choice xmlns:a14="http://schemas.microsoft.com/office/drawing/2010/main" Requires="a14">
        <xdr:graphicFrame macro="">
          <xdr:nvGraphicFramePr>
            <xdr:cNvPr id="3" name="Age_Rating">
              <a:extLst>
                <a:ext uri="{FF2B5EF4-FFF2-40B4-BE49-F238E27FC236}">
                  <a16:creationId xmlns:a16="http://schemas.microsoft.com/office/drawing/2014/main" id="{76F31CA4-8E67-437D-9943-98EC7380ECBA}"/>
                </a:ext>
              </a:extLst>
            </xdr:cNvPr>
            <xdr:cNvGraphicFramePr/>
          </xdr:nvGraphicFramePr>
          <xdr:xfrm>
            <a:off x="0" y="0"/>
            <a:ext cx="0" cy="0"/>
          </xdr:xfrm>
          <a:graphic>
            <a:graphicData uri="http://schemas.microsoft.com/office/drawing/2010/slicer">
              <sle:slicer xmlns:sle="http://schemas.microsoft.com/office/drawing/2010/slicer" name="Age_Rating"/>
            </a:graphicData>
          </a:graphic>
        </xdr:graphicFrame>
      </mc:Choice>
      <mc:Fallback>
        <xdr:sp macro="" textlink="">
          <xdr:nvSpPr>
            <xdr:cNvPr id="0" name=""/>
            <xdr:cNvSpPr>
              <a:spLocks noTextEdit="1"/>
            </xdr:cNvSpPr>
          </xdr:nvSpPr>
          <xdr:spPr>
            <a:xfrm>
              <a:off x="8829675" y="923925"/>
              <a:ext cx="1366979" cy="1908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fat" refreshedDate="45954.772689004632" createdVersion="8" refreshedVersion="8" minRefreshableVersion="3" recordCount="250" xr:uid="{E8678A11-BE36-4CA1-9137-85E386ADD7C2}">
  <cacheSource type="worksheet">
    <worksheetSource name="movies"/>
  </cacheSource>
  <cacheFields count="10">
    <cacheField name="Film_ID" numFmtId="0">
      <sharedItems containsSemiMixedTypes="0" containsString="0" containsNumber="1" containsInteger="1" minValue="1" maxValue="250" count="250">
        <n v="1"/>
        <n v="2"/>
        <n v="3"/>
        <n v="4"/>
        <n v="5"/>
        <n v="6"/>
        <n v="7"/>
        <n v="8"/>
        <n v="9"/>
        <n v="10"/>
        <n v="11"/>
        <n v="12"/>
        <n v="13"/>
        <n v="14"/>
        <n v="15"/>
        <n v="16"/>
        <n v="17"/>
        <n v="18"/>
        <n v="19"/>
        <n v="70"/>
        <n v="20"/>
        <n v="21"/>
        <n v="22"/>
        <n v="23"/>
        <n v="24"/>
        <n v="25"/>
        <n v="26"/>
        <n v="27"/>
        <n v="28"/>
        <n v="29"/>
        <n v="31"/>
        <n v="40"/>
        <n v="142"/>
        <n v="224"/>
        <n v="30"/>
        <n v="32"/>
        <n v="33"/>
        <n v="34"/>
        <n v="35"/>
        <n v="36"/>
        <n v="37"/>
        <n v="38"/>
        <n v="39"/>
        <n v="41"/>
        <n v="42"/>
        <n v="43"/>
        <n v="44"/>
        <n v="45"/>
        <n v="46"/>
        <n v="47"/>
        <n v="48"/>
        <n v="49"/>
        <n v="50"/>
        <n v="51"/>
        <n v="52"/>
        <n v="53"/>
        <n v="54"/>
        <n v="172"/>
        <n v="55"/>
        <n v="56"/>
        <n v="57"/>
        <n v="58"/>
        <n v="59"/>
        <n v="60"/>
        <n v="61"/>
        <n v="62"/>
        <n v="63"/>
        <n v="64"/>
        <n v="65"/>
        <n v="66"/>
        <n v="67"/>
        <n v="68"/>
        <n v="69"/>
        <n v="71"/>
        <n v="72"/>
        <n v="73"/>
        <n v="74"/>
        <n v="75"/>
        <n v="80"/>
        <n v="81"/>
        <n v="85"/>
        <n v="87"/>
        <n v="160"/>
        <n v="76"/>
        <n v="77"/>
        <n v="78"/>
        <n v="79"/>
        <n v="82"/>
        <n v="83"/>
        <n v="84"/>
        <n v="86"/>
        <n v="88"/>
        <n v="89"/>
        <n v="90"/>
        <n v="91"/>
        <n v="92"/>
        <n v="93"/>
        <n v="94"/>
        <n v="95"/>
        <n v="96"/>
        <n v="97"/>
        <n v="98"/>
        <n v="99"/>
        <n v="100"/>
        <n v="101"/>
        <n v="102"/>
        <n v="103"/>
        <n v="104"/>
        <n v="105"/>
        <n v="106"/>
        <n v="107"/>
        <n v="111"/>
        <n v="112"/>
        <n v="113"/>
        <n v="114"/>
        <n v="119"/>
        <n v="122"/>
        <n v="126"/>
        <n v="131"/>
        <n v="135"/>
        <n v="220"/>
        <n v="108"/>
        <n v="109"/>
        <n v="110"/>
        <n v="115"/>
        <n v="116"/>
        <n v="117"/>
        <n v="118"/>
        <n v="120"/>
        <n v="121"/>
        <n v="123"/>
        <n v="124"/>
        <n v="125"/>
        <n v="127"/>
        <n v="128"/>
        <n v="129"/>
        <n v="130"/>
        <n v="132"/>
        <n v="133"/>
        <n v="134"/>
        <n v="136"/>
        <n v="137"/>
        <n v="138"/>
        <n v="139"/>
        <n v="140"/>
        <n v="141"/>
        <n v="143"/>
        <n v="144"/>
        <n v="145"/>
        <n v="146"/>
        <n v="147"/>
        <n v="148"/>
        <n v="149"/>
        <n v="150"/>
        <n v="151"/>
        <n v="152"/>
        <n v="153"/>
        <n v="154"/>
        <n v="155"/>
        <n v="156"/>
        <n v="157"/>
        <n v="158"/>
        <n v="159"/>
        <n v="161"/>
        <n v="162"/>
        <n v="163"/>
        <n v="164"/>
        <n v="165"/>
        <n v="166"/>
        <n v="181"/>
        <n v="189"/>
        <n v="195"/>
        <n v="234"/>
        <n v="241"/>
        <n v="245"/>
        <n v="248"/>
        <n v="250"/>
        <n v="167"/>
        <n v="168"/>
        <n v="169"/>
        <n v="170"/>
        <n v="171"/>
        <n v="173"/>
        <n v="174"/>
        <n v="175"/>
        <n v="176"/>
        <n v="177"/>
        <n v="178"/>
        <n v="179"/>
        <n v="180"/>
        <n v="182"/>
        <n v="183"/>
        <n v="184"/>
        <n v="185"/>
        <n v="186"/>
        <n v="187"/>
        <n v="188"/>
        <n v="190"/>
        <n v="191"/>
        <n v="192"/>
        <n v="193"/>
        <n v="194"/>
        <n v="196"/>
        <n v="197"/>
        <n v="198"/>
        <n v="199"/>
        <n v="200"/>
        <n v="201"/>
        <n v="202"/>
        <n v="203"/>
        <n v="204"/>
        <n v="205"/>
        <n v="206"/>
        <n v="207"/>
        <n v="208"/>
        <n v="209"/>
        <n v="210"/>
        <n v="211"/>
        <n v="212"/>
        <n v="213"/>
        <n v="214"/>
        <n v="215"/>
        <n v="216"/>
        <n v="217"/>
        <n v="218"/>
        <n v="219"/>
        <n v="221"/>
        <n v="222"/>
        <n v="223"/>
        <n v="225"/>
        <n v="226"/>
        <n v="227"/>
        <n v="228"/>
        <n v="229"/>
        <n v="230"/>
        <n v="231"/>
        <n v="233"/>
        <n v="235"/>
        <n v="236"/>
        <n v="237"/>
        <n v="238"/>
        <n v="239"/>
        <n v="240"/>
        <n v="242"/>
        <n v="243"/>
        <n v="244"/>
        <n v="246"/>
        <n v="247"/>
        <n v="249"/>
        <n v="232"/>
      </sharedItems>
    </cacheField>
    <cacheField name="movie_Name" numFmtId="0">
      <sharedItems count="250">
        <s v="The Shawshank Redemption"/>
        <s v="The Godfather"/>
        <s v="The Dark Knight"/>
        <s v="The Godfather Part II"/>
        <s v="12 Angry Men"/>
        <s v="The Lord of the Rings: The Return of the King"/>
        <s v="Schindler's List"/>
        <s v="The Lord of the Rings: The Fellowship of the Ring"/>
        <s v="Pulp Fiction"/>
        <s v="The Good, the Bad and the Ugly"/>
        <s v="The Lord of the Rings: The Two Towers"/>
        <s v="Forrest Gump"/>
        <s v="Fight Club"/>
        <s v="Inception"/>
        <s v="Star Wars: Episode V - The Empire Strikes Back"/>
        <s v="The Matrix"/>
        <s v="Goodfellas"/>
        <s v="Interstellar"/>
        <s v="One Flew Over the Cuckoo's Nest"/>
        <s v="12th Fail"/>
        <s v="Se7en"/>
        <s v="It's a Wonderful Life"/>
        <s v="The Silence of the Lambs"/>
        <s v="Seven Samurai"/>
        <s v="Saving Private Ryan"/>
        <s v="The Green Mile"/>
        <s v="City of God"/>
        <s v="Life Is Beautiful"/>
        <s v="Terminator 2: Judgment Day"/>
        <s v="Star Wars: Episode IV - A New Hope"/>
        <s v="Spirited Away"/>
        <s v="Harakiri"/>
        <s v="The Chaos Class Failed the Class"/>
        <s v="Jai Bhim"/>
        <s v="Back to the Future"/>
        <s v="The Pianist"/>
        <s v="Gladiator"/>
        <s v="Parasite"/>
        <s v="Psycho"/>
        <s v="The Lion King"/>
        <s v="Grave of the Fireflies"/>
        <s v="The Departed"/>
        <s v="Whiplash"/>
        <s v="The Prestige"/>
        <s v="American History X"/>
        <s v="Léon: The Professional"/>
        <s v="Spider-Man: Across the Spider-Verse"/>
        <s v="Casablanca"/>
        <s v="Cinema Paradiso"/>
        <s v="The Intouchables"/>
        <s v="The Usual Suspects"/>
        <s v="Alien"/>
        <s v="Modern Times"/>
        <s v="Rear Window"/>
        <s v="Django Unchained"/>
        <s v="Once Upon a Time in the West"/>
        <s v="City Lights"/>
        <s v="Demon Slayer: Kimetsu no Yaiba- The Movie - Infinity Castle"/>
        <s v="Apocalypse Now"/>
        <s v="WALL·E"/>
        <s v="Memento"/>
        <s v="Dune: Part Two"/>
        <s v="Raiders of the Lost Ark"/>
        <s v="Avengers: Infinity War"/>
        <s v="The Lives of Others"/>
        <s v="Sunset Boulevard"/>
        <s v="Spider-Man: Into the Spider-Verse"/>
        <s v="Witness for the Prosecution"/>
        <s v="Paths of Glory"/>
        <s v="The Shining"/>
        <s v="The Great Dictator"/>
        <s v="Inglourious Basterds"/>
        <s v="Aliens"/>
        <s v="The Dark Knight Rises"/>
        <s v="High and Low"/>
        <s v="Coco"/>
        <s v="Avengers: Endgame"/>
        <s v="Amadeus"/>
        <s v="Das Boot"/>
        <s v="Your Name."/>
        <s v="3 Idiots"/>
        <s v="Capernaum"/>
        <s v="The Best of Youth"/>
        <s v="Good Will Hunting"/>
        <s v="Toy Story"/>
        <s v="Oldboy"/>
        <s v="Dr. Strangelove or: How I Learned to Stop Worrying and Love the Bomb"/>
        <s v="Braveheart"/>
        <s v="Princess Mononoke"/>
        <s v="American Beauty"/>
        <s v="Joker"/>
        <s v="Once Upon a Time in America"/>
        <s v="Singin' in the Rain"/>
        <s v="Come and See"/>
        <s v="Requiem for a Dream"/>
        <s v="Star Wars: Episode VI - Return of the Jedi"/>
        <s v="Toy Story 3"/>
        <s v="The Hunt"/>
        <s v="Ikiru"/>
        <s v="Eternal Sunshine of the Spotless Mind"/>
        <s v="Incendies"/>
        <s v="The Apartment"/>
        <s v="Lawrence of Arabia"/>
        <s v="2001: A Space Odyssey"/>
        <s v="Reservoir Dogs"/>
        <s v="Scarface"/>
        <s v="Heat"/>
        <s v="Double Indemnity"/>
        <s v="Up"/>
        <s v="North by Northwest"/>
        <s v="M"/>
        <s v="Amélie"/>
        <s v="Like Stars on Earth"/>
        <s v="A Separation"/>
        <s v="To Kill a Mockingbird"/>
        <s v="Metropolis"/>
        <s v="Oppenheimer"/>
        <s v="Dangal"/>
        <s v="Hamilton"/>
        <s v="Judgment at Nuremberg"/>
        <s v="Maharaja"/>
        <s v="Full Metal Jacket"/>
        <s v="Citizen Kane"/>
        <s v="Vertigo"/>
        <s v="Die Hard"/>
        <s v="Indiana Jones and the Last Crusade"/>
        <s v="The Sting"/>
        <s v="A Clockwork Orange"/>
        <s v="Snatch"/>
        <s v="1917"/>
        <s v="L.A. Confidential"/>
        <s v="Downfall"/>
        <s v="Bicycle Thieves"/>
        <s v="The Wolf of Wall Street"/>
        <s v="Green Book"/>
        <s v="The Truman Show"/>
        <s v="Batman Begins"/>
        <s v="Taxi Driver"/>
        <s v="For a Few Dollars More"/>
        <s v="Shutter Island"/>
        <s v="Some Like It Hot"/>
        <s v="Jurassic Park"/>
        <s v="One Battle After Another"/>
        <s v="There Will Be Blood"/>
        <s v="The Kid"/>
        <s v="The Father"/>
        <s v="All About Eve"/>
        <s v="The Sixth Sense"/>
        <s v="Ran"/>
        <s v="Casino"/>
        <s v="No Country for Old Men"/>
        <s v="The Thing"/>
        <s v="Top Gun: Maverick"/>
        <s v="Unforgiven"/>
        <s v="Pan's Labyrinth"/>
        <s v="Kill Bill: Vol. 1"/>
        <s v="Prisoners"/>
        <s v="A Beautiful Mind"/>
        <s v="The Treasure of the Sierra Madre"/>
        <s v="Howl's Moving Castle"/>
        <s v="Finding Nemo"/>
        <s v="Yojimbo"/>
        <s v="The Great Escape"/>
        <s v="Monty Python and the Holy Grail"/>
        <s v="The Elephant Man"/>
        <s v="Klaus"/>
        <s v="Dial M for Murder"/>
        <s v="Gone with the Wind"/>
        <s v="The Secret in Their Eyes"/>
        <s v="The Wild Robot"/>
        <s v="Children of Heaven"/>
        <s v="Spider-Man: No Way Home"/>
        <s v="A Silent Voice: The Movie"/>
        <s v="My Father and My Son"/>
        <s v="Demon Slayer: Kimetsu no Yaiba - The Movie: Mugen Train"/>
        <s v="Gangs of Wasseypur"/>
        <s v="Andhadhun"/>
        <s v="Chinatown"/>
        <s v="Lock, Stock and Two Smoking Barrels"/>
        <s v="V for Vendetta"/>
        <s v="Rashomon"/>
        <s v="Inside Out"/>
        <s v="Catch Me If You Can"/>
        <s v="Three Billboards Outside Ebbing, Missouri"/>
        <s v="Trainspotting"/>
        <s v="The Bridge on the River Kwai"/>
        <s v="Harry Potter and the Deathly Hallows: Part 2"/>
        <s v="Raging Bull"/>
        <s v="Fargo"/>
        <s v="Warrior"/>
        <s v="Dead Poets Society"/>
        <s v="Million Dollar Baby"/>
        <s v="Ben-Hur"/>
        <s v="Mad Max: Fury Road"/>
        <s v="Barry Lyndon"/>
        <s v="Gran Torino"/>
        <s v="My Neighbor Totoro"/>
        <s v="Hacksaw Ridge"/>
        <s v="The Grand Budapest Hotel"/>
        <s v="12 Years a Slave"/>
        <s v="Before Sunrise"/>
        <s v="Blade Runner"/>
        <s v="Memories of Murder"/>
        <s v="Ratatouille"/>
        <s v="Gone Girl"/>
        <s v="How to Train Your Dragon"/>
        <s v="Monsters, Inc."/>
        <s v="Jaws"/>
        <s v="In the Name of the Father"/>
        <s v="Ford v Ferrari"/>
        <s v="Wild Tales"/>
        <s v="The Gold Rush"/>
        <s v="Sherlock Jr."/>
        <s v="Mary and Max"/>
        <s v="The Deer Hunter"/>
        <s v="The Wages of Fear"/>
        <s v="The General"/>
        <s v="Mr. Smith Goes to Washington"/>
        <s v="Logan"/>
        <s v="On the Waterfront"/>
        <s v="Rocky"/>
        <s v="Wild Strawberries"/>
        <s v="Tokyo Story"/>
        <s v="The Third Man"/>
        <s v="Pirates of the Caribbean: The Curse of the Black Pearl"/>
        <s v="Spotlight"/>
        <s v="The Terminator"/>
        <s v="La haine"/>
        <s v="The Big Lebowski"/>
        <s v="The Seventh Seal"/>
        <s v="Room"/>
        <s v="The Sound of Music"/>
        <s v="Hotel Rwanda"/>
        <s v="The Best Years of Our Lives"/>
        <s v="Platoon"/>
        <s v="Before Sunset"/>
        <s v="The Exorcist"/>
        <s v="Hachi: A Dog's Tale"/>
        <s v="Rush"/>
        <s v="The Wizard of Oz"/>
        <s v="Stand by Me"/>
        <s v="The Passion of Joan of Arc"/>
        <s v="The Iron Giant"/>
        <s v="The Handmaiden"/>
        <s v="Network"/>
        <s v="The Battle of Algiers"/>
        <s v="The Grapes of Wrath"/>
        <s v="To Be or Not to Be"/>
        <s v="The Help"/>
        <s v="The Incredibles"/>
      </sharedItems>
    </cacheField>
    <cacheField name="Rate" numFmtId="0">
      <sharedItems containsSemiMixedTypes="0" containsString="0" containsNumber="1" minValue="8" maxValue="9.3000000000000007" count="14">
        <n v="9.3000000000000007"/>
        <n v="9.1999999999999993"/>
        <n v="9.1"/>
        <n v="9"/>
        <n v="8.9"/>
        <n v="8.8000000000000007"/>
        <n v="8.6999999999999993"/>
        <n v="8.6"/>
        <n v="8.5"/>
        <n v="8.4"/>
        <n v="8.3000000000000007"/>
        <n v="8.1999999999999993"/>
        <n v="8.1"/>
        <n v="8"/>
      </sharedItems>
    </cacheField>
    <cacheField name="Votes" numFmtId="0">
      <sharedItems containsSemiMixedTypes="0" containsString="0" containsNumber="1" containsInteger="1" minValue="2700" maxValue="3100000" count="177">
        <n v="3100000"/>
        <n v="2200000"/>
        <n v="1500000"/>
        <n v="95300"/>
        <n v="2100000"/>
        <n v="1600000"/>
        <n v="2400000"/>
        <n v="87100"/>
        <n v="1900000"/>
        <n v="2500000"/>
        <n v="2700000"/>
        <n v="1400000"/>
        <n v="1100000"/>
        <n v="200000"/>
        <n v="53600"/>
        <n v="1700000"/>
        <n v="39200"/>
        <n v="85200"/>
        <n v="79300"/>
        <n v="1300000"/>
        <n v="93600"/>
        <n v="98700"/>
        <n v="1800000"/>
        <n v="76800"/>
        <n v="1200000"/>
        <n v="36500"/>
        <n v="8400"/>
        <n v="48600"/>
        <n v="64200"/>
        <n v="30800"/>
        <n v="99800"/>
        <n v="100000"/>
        <n v="27800"/>
        <n v="55600"/>
        <n v="37500"/>
        <n v="21000"/>
        <n v="75400"/>
        <n v="67400"/>
        <n v="43400"/>
        <n v="25300"/>
        <n v="75600"/>
        <n v="15500"/>
        <n v="23100"/>
        <n v="82300"/>
        <n v="15800"/>
        <n v="6500"/>
        <n v="45600"/>
        <n v="69700"/>
        <n v="54400"/>
        <n v="28300"/>
        <n v="37300"/>
        <n v="47100"/>
        <n v="47000"/>
        <n v="12000"/>
        <n v="40100"/>
        <n v="27700"/>
        <n v="11700"/>
        <n v="95500"/>
        <n v="94900"/>
        <n v="39800"/>
        <n v="9900"/>
        <n v="23900"/>
        <n v="21300"/>
        <n v="33500"/>
        <n v="76700"/>
        <n v="98900"/>
        <n v="77800"/>
        <n v="17700"/>
        <n v="18000"/>
        <n v="83500"/>
        <n v="48700"/>
        <n v="45200"/>
        <n v="82800"/>
        <n v="22600"/>
        <n v="27300"/>
        <n v="34700"/>
        <n v="85000"/>
        <n v="29500"/>
        <n v="92300"/>
        <n v="19700"/>
        <n v="96000"/>
        <n v="74700"/>
        <n v="95000"/>
        <n v="64900"/>
        <n v="39400"/>
        <n v="18900"/>
        <n v="23400"/>
        <n v="65800"/>
        <n v="13400"/>
        <n v="29400"/>
        <n v="9400"/>
        <n v="30000"/>
        <n v="68800"/>
        <n v="14300"/>
        <n v="22100"/>
        <n v="2900"/>
        <n v="14700"/>
        <n v="14800"/>
        <n v="60500"/>
        <n v="51100"/>
        <n v="80900"/>
        <n v="46100"/>
        <n v="73500"/>
        <n v="90000"/>
        <n v="13900"/>
        <n v="49700"/>
        <n v="14000"/>
        <n v="2700"/>
        <n v="59500"/>
        <n v="20100"/>
        <n v="35100"/>
        <n v="23700"/>
        <n v="37100"/>
        <n v="19300"/>
        <n v="88800"/>
        <n v="4700"/>
        <n v="59300"/>
        <n v="75900"/>
        <n v="24500"/>
        <n v="40200"/>
        <n v="52100"/>
        <n v="61800"/>
        <n v="75500"/>
        <n v="26700"/>
        <n v="19800"/>
        <n v="41900"/>
        <n v="8800"/>
        <n v="65700"/>
        <n v="94500"/>
        <n v="77400"/>
        <n v="36700"/>
        <n v="86700"/>
        <n v="98300"/>
        <n v="25400"/>
        <n v="91200"/>
        <n v="87000"/>
        <n v="72000"/>
        <n v="19900"/>
        <n v="54600"/>
        <n v="23300"/>
        <n v="12600"/>
        <n v="6400"/>
        <n v="38100"/>
        <n v="7200"/>
        <n v="10400"/>
        <n v="12800"/>
        <n v="90700"/>
        <n v="17500"/>
        <n v="67300"/>
        <n v="12200"/>
        <n v="7600"/>
        <n v="19200"/>
        <n v="52600"/>
        <n v="7500"/>
        <n v="98200"/>
        <n v="21800"/>
        <n v="90300"/>
        <n v="23000"/>
        <n v="21200"/>
        <n v="47400"/>
        <n v="38800"/>
        <n v="46300"/>
        <n v="87700"/>
        <n v="48800"/>
        <n v="13000"/>
        <n v="54700"/>
        <n v="45800"/>
        <n v="6700"/>
        <n v="25200"/>
        <n v="19500"/>
        <n v="18300"/>
        <n v="7300"/>
        <n v="9300"/>
        <n v="10700"/>
        <n v="4800"/>
        <n v="11100"/>
        <n v="11200"/>
      </sharedItems>
    </cacheField>
    <cacheField name="Realse_Date" numFmtId="0">
      <sharedItems containsSemiMixedTypes="0" containsString="0" containsNumber="1" containsInteger="1" minValue="1921" maxValue="2025" count="86">
        <n v="1994"/>
        <n v="1972"/>
        <n v="2008"/>
        <n v="1974"/>
        <n v="1957"/>
        <n v="2003"/>
        <n v="1993"/>
        <n v="2001"/>
        <n v="1966"/>
        <n v="2002"/>
        <n v="1999"/>
        <n v="2010"/>
        <n v="1980"/>
        <n v="1990"/>
        <n v="2014"/>
        <n v="1975"/>
        <n v="2023"/>
        <n v="1995"/>
        <n v="1946"/>
        <n v="1991"/>
        <n v="1954"/>
        <n v="1998"/>
        <n v="1997"/>
        <n v="1977"/>
        <n v="1962"/>
        <n v="2021"/>
        <n v="1985"/>
        <n v="2000"/>
        <n v="2019"/>
        <n v="1960"/>
        <n v="1988"/>
        <n v="2006"/>
        <n v="1942"/>
        <n v="2011"/>
        <n v="1979"/>
        <n v="1936"/>
        <n v="2012"/>
        <n v="1968"/>
        <n v="1931"/>
        <n v="2025"/>
        <n v="2024"/>
        <n v="1981"/>
        <n v="2018"/>
        <n v="1950"/>
        <n v="1940"/>
        <n v="2009"/>
        <n v="1986"/>
        <n v="1963"/>
        <n v="2017"/>
        <n v="1984"/>
        <n v="2016"/>
        <n v="1964"/>
        <n v="1952"/>
        <n v="1983"/>
        <n v="2004"/>
        <n v="1992"/>
        <n v="1944"/>
        <n v="1959"/>
        <n v="2007"/>
        <n v="1927"/>
        <n v="2020"/>
        <n v="1961"/>
        <n v="1987"/>
        <n v="1941"/>
        <n v="1958"/>
        <n v="1989"/>
        <n v="1973"/>
        <n v="1971"/>
        <n v="1948"/>
        <n v="2013"/>
        <n v="2005"/>
        <n v="1976"/>
        <n v="1965"/>
        <n v="1921"/>
        <n v="1982"/>
        <n v="2022"/>
        <n v="1939"/>
        <n v="2015"/>
        <n v="1996"/>
        <n v="1925"/>
        <n v="1924"/>
        <n v="1978"/>
        <n v="1953"/>
        <n v="1926"/>
        <n v="1949"/>
        <n v="1928"/>
      </sharedItems>
    </cacheField>
    <cacheField name="Century" numFmtId="0">
      <sharedItems containsSemiMixedTypes="0" containsString="0" containsNumber="1" containsInteger="1" minValue="20" maxValue="21" count="2">
        <n v="20"/>
        <n v="21"/>
      </sharedItems>
    </cacheField>
    <cacheField name="Movie_Duration" numFmtId="0">
      <sharedItems count="102">
        <s v="2h 22m"/>
        <s v="2h 55m"/>
        <s v="2h 32m"/>
        <s v="3h 22m"/>
        <s v="1h 36m"/>
        <s v="3h 21m"/>
        <s v="3h 15m"/>
        <s v="2h 58m"/>
        <s v="2h 34m"/>
        <s v="2h 59m"/>
        <s v="2h 19m"/>
        <s v="2h 28m"/>
        <s v="2h 4m"/>
        <s v="2h 16m"/>
        <s v="2h 25m"/>
        <s v="2h 49m"/>
        <s v="2h 13m"/>
        <s v="2h 27m"/>
        <s v="2h 7m"/>
        <s v="2h 10m"/>
        <s v="1h 58m"/>
        <s v="3h 27m"/>
        <s v="3h 9m"/>
        <s v="1h 56m"/>
        <s v="2h 17m"/>
        <s v="2h 1m"/>
        <s v="1h 35m"/>
        <s v="2h 44m"/>
        <s v="2h 30m"/>
        <s v="2h 35m"/>
        <s v="2h 12m"/>
        <s v="1h 49m"/>
        <s v="1h 28m"/>
        <s v="2h 31m"/>
        <s v="1h 46m"/>
        <s v="1h 59m"/>
        <s v="1h 50m"/>
        <s v="2h 20m"/>
        <s v="1h 42m"/>
        <s v="2h 54m"/>
        <s v="1h 52m"/>
        <s v="1h 57m"/>
        <s v="1h 27m"/>
        <s v="2h 45m"/>
        <s v="2h 46m"/>
        <s v="1h 38m"/>
        <s v="1h 53m"/>
        <s v="1h 55m"/>
        <s v="2h 29m"/>
        <s v="2h 26m"/>
        <s v="2h 5m"/>
        <s v="2h 33m"/>
        <s v="2h 23m"/>
        <s v="1h 45m"/>
        <s v="3h 1m"/>
        <s v="2h 40m"/>
        <s v="2h 50m"/>
        <s v="2h 6m"/>
        <s v="6h 14m"/>
        <s v="1h 21m"/>
        <s v="2h"/>
        <s v="2h 2m"/>
        <s v="3h 49m"/>
        <s v="1h 43m"/>
        <s v="2h 11m"/>
        <s v="1h 48m"/>
        <s v="3h 47m"/>
        <s v="1h 39m"/>
        <s v="1h 47m"/>
        <s v="2h 42m"/>
        <s v="2h 3m"/>
        <s v="2h 9m"/>
        <s v="3h"/>
        <s v="2h 41m"/>
        <s v="2h 21m"/>
        <s v="2h 8m"/>
        <s v="2h 18m"/>
        <s v="2h 36m"/>
        <s v="1h 29m"/>
        <s v="1h 54m"/>
        <s v="2h 38m"/>
        <s v="1h 8m"/>
        <s v="1h 37m"/>
        <s v="1h 51m"/>
        <s v="2h 15m"/>
        <s v="1h 40m"/>
        <s v="2h 52m"/>
        <s v="1h 31m"/>
        <s v="3h 58m"/>
        <s v="5h 21m"/>
        <s v="1h 33m"/>
        <s v="3h 32m"/>
        <s v="3h 5m"/>
        <s v="1h 26m"/>
        <s v="2h 14m"/>
        <s v="1h 41m"/>
        <s v="1h 32m"/>
        <s v="45m"/>
        <s v="3h 3m"/>
        <s v="1h 18m"/>
        <s v="1h 44m"/>
        <s v="1h 20m"/>
      </sharedItems>
    </cacheField>
    <cacheField name="Movie_Duration(min)" numFmtId="0">
      <sharedItems containsSemiMixedTypes="0" containsString="0" containsNumber="1" containsInteger="1" minValue="45" maxValue="374" count="101">
        <n v="142"/>
        <n v="175"/>
        <n v="152"/>
        <n v="202"/>
        <n v="96"/>
        <n v="201"/>
        <n v="195"/>
        <n v="178"/>
        <n v="154"/>
        <n v="179"/>
        <n v="139"/>
        <n v="148"/>
        <n v="124"/>
        <n v="136"/>
        <n v="145"/>
        <n v="169"/>
        <n v="133"/>
        <n v="147"/>
        <n v="127"/>
        <n v="130"/>
        <n v="118"/>
        <n v="207"/>
        <n v="189"/>
        <n v="116"/>
        <n v="137"/>
        <n v="121"/>
        <n v="95"/>
        <n v="164"/>
        <n v="150"/>
        <n v="155"/>
        <n v="132"/>
        <n v="109"/>
        <n v="88"/>
        <n v="151"/>
        <n v="106"/>
        <n v="119"/>
        <n v="110"/>
        <n v="140"/>
        <n v="102"/>
        <n v="174"/>
        <n v="112"/>
        <n v="117"/>
        <n v="87"/>
        <n v="165"/>
        <n v="166"/>
        <n v="98"/>
        <n v="113"/>
        <n v="115"/>
        <n v="149"/>
        <n v="146"/>
        <n v="125"/>
        <n v="153"/>
        <n v="143"/>
        <n v="105"/>
        <n v="181"/>
        <n v="160"/>
        <n v="170"/>
        <n v="126"/>
        <n v="374"/>
        <n v="81"/>
        <n v="120"/>
        <n v="122"/>
        <n v="229"/>
        <n v="103"/>
        <n v="131"/>
        <n v="108"/>
        <n v="227"/>
        <n v="99"/>
        <n v="107"/>
        <n v="162"/>
        <n v="123"/>
        <n v="129"/>
        <n v="183"/>
        <n v="161"/>
        <n v="141"/>
        <n v="128"/>
        <n v="138"/>
        <n v="156"/>
        <n v="89"/>
        <n v="114"/>
        <n v="158"/>
        <n v="68"/>
        <n v="97"/>
        <n v="111"/>
        <n v="135"/>
        <n v="100"/>
        <n v="172"/>
        <n v="91"/>
        <n v="238"/>
        <n v="321"/>
        <n v="93"/>
        <n v="212"/>
        <n v="185"/>
        <n v="86"/>
        <n v="134"/>
        <n v="101"/>
        <n v="92"/>
        <n v="45"/>
        <n v="78"/>
        <n v="104"/>
        <n v="80"/>
      </sharedItems>
    </cacheField>
    <cacheField name="Duration_Level" numFmtId="0">
      <sharedItems count="3">
        <s v="Mid"/>
        <s v="Long"/>
        <s v="Short"/>
      </sharedItems>
    </cacheField>
    <cacheField name="Age_Rating" numFmtId="0">
      <sharedItems containsBlank="1" count="10">
        <s v="R"/>
        <s v="PG-13"/>
        <s v="Approved"/>
        <s v="PG"/>
        <s v="unknown"/>
        <s v="Not Rated"/>
        <s v="G"/>
        <s v="NC-17"/>
        <s v="Passed"/>
        <m u="1"/>
      </sharedItems>
    </cacheField>
  </cacheFields>
  <extLst>
    <ext xmlns:x14="http://schemas.microsoft.com/office/spreadsheetml/2009/9/main" uri="{725AE2AE-9491-48be-B2B4-4EB974FC3084}">
      <x14:pivotCacheDefinition pivotCacheId="52859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x v="0"/>
    <x v="0"/>
    <x v="0"/>
    <x v="0"/>
    <x v="0"/>
    <x v="0"/>
  </r>
  <r>
    <x v="1"/>
    <x v="1"/>
    <x v="1"/>
    <x v="1"/>
    <x v="1"/>
    <x v="0"/>
    <x v="1"/>
    <x v="1"/>
    <x v="1"/>
    <x v="0"/>
  </r>
  <r>
    <x v="2"/>
    <x v="2"/>
    <x v="2"/>
    <x v="0"/>
    <x v="2"/>
    <x v="1"/>
    <x v="2"/>
    <x v="2"/>
    <x v="1"/>
    <x v="1"/>
  </r>
  <r>
    <x v="3"/>
    <x v="3"/>
    <x v="3"/>
    <x v="2"/>
    <x v="3"/>
    <x v="0"/>
    <x v="3"/>
    <x v="3"/>
    <x v="1"/>
    <x v="0"/>
  </r>
  <r>
    <x v="4"/>
    <x v="4"/>
    <x v="3"/>
    <x v="3"/>
    <x v="4"/>
    <x v="0"/>
    <x v="4"/>
    <x v="4"/>
    <x v="2"/>
    <x v="2"/>
  </r>
  <r>
    <x v="5"/>
    <x v="5"/>
    <x v="3"/>
    <x v="4"/>
    <x v="5"/>
    <x v="1"/>
    <x v="5"/>
    <x v="5"/>
    <x v="1"/>
    <x v="1"/>
  </r>
  <r>
    <x v="6"/>
    <x v="6"/>
    <x v="3"/>
    <x v="5"/>
    <x v="6"/>
    <x v="0"/>
    <x v="6"/>
    <x v="6"/>
    <x v="1"/>
    <x v="0"/>
  </r>
  <r>
    <x v="7"/>
    <x v="7"/>
    <x v="4"/>
    <x v="4"/>
    <x v="7"/>
    <x v="1"/>
    <x v="7"/>
    <x v="7"/>
    <x v="1"/>
    <x v="1"/>
  </r>
  <r>
    <x v="8"/>
    <x v="8"/>
    <x v="5"/>
    <x v="6"/>
    <x v="0"/>
    <x v="0"/>
    <x v="8"/>
    <x v="8"/>
    <x v="1"/>
    <x v="0"/>
  </r>
  <r>
    <x v="9"/>
    <x v="9"/>
    <x v="5"/>
    <x v="7"/>
    <x v="8"/>
    <x v="0"/>
    <x v="7"/>
    <x v="7"/>
    <x v="1"/>
    <x v="0"/>
  </r>
  <r>
    <x v="10"/>
    <x v="10"/>
    <x v="5"/>
    <x v="8"/>
    <x v="9"/>
    <x v="1"/>
    <x v="9"/>
    <x v="9"/>
    <x v="1"/>
    <x v="1"/>
  </r>
  <r>
    <x v="11"/>
    <x v="11"/>
    <x v="5"/>
    <x v="6"/>
    <x v="0"/>
    <x v="0"/>
    <x v="0"/>
    <x v="0"/>
    <x v="0"/>
    <x v="1"/>
  </r>
  <r>
    <x v="12"/>
    <x v="12"/>
    <x v="5"/>
    <x v="9"/>
    <x v="10"/>
    <x v="0"/>
    <x v="10"/>
    <x v="10"/>
    <x v="0"/>
    <x v="0"/>
  </r>
  <r>
    <x v="13"/>
    <x v="13"/>
    <x v="5"/>
    <x v="10"/>
    <x v="11"/>
    <x v="1"/>
    <x v="11"/>
    <x v="11"/>
    <x v="0"/>
    <x v="1"/>
  </r>
  <r>
    <x v="14"/>
    <x v="14"/>
    <x v="6"/>
    <x v="2"/>
    <x v="12"/>
    <x v="0"/>
    <x v="12"/>
    <x v="12"/>
    <x v="0"/>
    <x v="3"/>
  </r>
  <r>
    <x v="15"/>
    <x v="15"/>
    <x v="6"/>
    <x v="1"/>
    <x v="10"/>
    <x v="0"/>
    <x v="13"/>
    <x v="13"/>
    <x v="0"/>
    <x v="0"/>
  </r>
  <r>
    <x v="16"/>
    <x v="16"/>
    <x v="6"/>
    <x v="11"/>
    <x v="13"/>
    <x v="0"/>
    <x v="14"/>
    <x v="14"/>
    <x v="0"/>
    <x v="0"/>
  </r>
  <r>
    <x v="17"/>
    <x v="17"/>
    <x v="6"/>
    <x v="6"/>
    <x v="14"/>
    <x v="1"/>
    <x v="15"/>
    <x v="15"/>
    <x v="1"/>
    <x v="1"/>
  </r>
  <r>
    <x v="18"/>
    <x v="18"/>
    <x v="6"/>
    <x v="12"/>
    <x v="15"/>
    <x v="0"/>
    <x v="16"/>
    <x v="16"/>
    <x v="0"/>
    <x v="0"/>
  </r>
  <r>
    <x v="19"/>
    <x v="19"/>
    <x v="6"/>
    <x v="13"/>
    <x v="16"/>
    <x v="1"/>
    <x v="17"/>
    <x v="17"/>
    <x v="0"/>
    <x v="4"/>
  </r>
  <r>
    <x v="20"/>
    <x v="20"/>
    <x v="7"/>
    <x v="14"/>
    <x v="17"/>
    <x v="0"/>
    <x v="18"/>
    <x v="18"/>
    <x v="0"/>
    <x v="0"/>
  </r>
  <r>
    <x v="21"/>
    <x v="21"/>
    <x v="7"/>
    <x v="15"/>
    <x v="18"/>
    <x v="0"/>
    <x v="19"/>
    <x v="19"/>
    <x v="0"/>
    <x v="3"/>
  </r>
  <r>
    <x v="22"/>
    <x v="22"/>
    <x v="7"/>
    <x v="16"/>
    <x v="19"/>
    <x v="0"/>
    <x v="20"/>
    <x v="20"/>
    <x v="0"/>
    <x v="0"/>
  </r>
  <r>
    <x v="23"/>
    <x v="23"/>
    <x v="7"/>
    <x v="5"/>
    <x v="20"/>
    <x v="0"/>
    <x v="21"/>
    <x v="21"/>
    <x v="1"/>
    <x v="5"/>
  </r>
  <r>
    <x v="24"/>
    <x v="24"/>
    <x v="7"/>
    <x v="2"/>
    <x v="21"/>
    <x v="0"/>
    <x v="15"/>
    <x v="15"/>
    <x v="1"/>
    <x v="0"/>
  </r>
  <r>
    <x v="25"/>
    <x v="25"/>
    <x v="7"/>
    <x v="17"/>
    <x v="10"/>
    <x v="0"/>
    <x v="22"/>
    <x v="22"/>
    <x v="1"/>
    <x v="0"/>
  </r>
  <r>
    <x v="26"/>
    <x v="26"/>
    <x v="7"/>
    <x v="18"/>
    <x v="9"/>
    <x v="1"/>
    <x v="19"/>
    <x v="19"/>
    <x v="0"/>
    <x v="0"/>
  </r>
  <r>
    <x v="27"/>
    <x v="27"/>
    <x v="7"/>
    <x v="19"/>
    <x v="22"/>
    <x v="0"/>
    <x v="23"/>
    <x v="23"/>
    <x v="0"/>
    <x v="1"/>
  </r>
  <r>
    <x v="28"/>
    <x v="28"/>
    <x v="7"/>
    <x v="2"/>
    <x v="19"/>
    <x v="0"/>
    <x v="24"/>
    <x v="24"/>
    <x v="0"/>
    <x v="0"/>
  </r>
  <r>
    <x v="29"/>
    <x v="29"/>
    <x v="7"/>
    <x v="11"/>
    <x v="23"/>
    <x v="0"/>
    <x v="25"/>
    <x v="25"/>
    <x v="0"/>
    <x v="3"/>
  </r>
  <r>
    <x v="30"/>
    <x v="30"/>
    <x v="7"/>
    <x v="20"/>
    <x v="7"/>
    <x v="1"/>
    <x v="12"/>
    <x v="12"/>
    <x v="0"/>
    <x v="3"/>
  </r>
  <r>
    <x v="31"/>
    <x v="31"/>
    <x v="7"/>
    <x v="21"/>
    <x v="24"/>
    <x v="0"/>
    <x v="16"/>
    <x v="16"/>
    <x v="0"/>
    <x v="5"/>
  </r>
  <r>
    <x v="32"/>
    <x v="32"/>
    <x v="7"/>
    <x v="22"/>
    <x v="15"/>
    <x v="0"/>
    <x v="26"/>
    <x v="26"/>
    <x v="2"/>
    <x v="4"/>
  </r>
  <r>
    <x v="33"/>
    <x v="33"/>
    <x v="7"/>
    <x v="12"/>
    <x v="25"/>
    <x v="1"/>
    <x v="27"/>
    <x v="27"/>
    <x v="1"/>
    <x v="2"/>
  </r>
  <r>
    <x v="34"/>
    <x v="34"/>
    <x v="8"/>
    <x v="23"/>
    <x v="26"/>
    <x v="0"/>
    <x v="23"/>
    <x v="23"/>
    <x v="0"/>
    <x v="3"/>
  </r>
  <r>
    <x v="35"/>
    <x v="35"/>
    <x v="8"/>
    <x v="24"/>
    <x v="9"/>
    <x v="1"/>
    <x v="28"/>
    <x v="28"/>
    <x v="1"/>
    <x v="0"/>
  </r>
  <r>
    <x v="36"/>
    <x v="36"/>
    <x v="8"/>
    <x v="25"/>
    <x v="27"/>
    <x v="0"/>
    <x v="29"/>
    <x v="29"/>
    <x v="1"/>
    <x v="0"/>
  </r>
  <r>
    <x v="37"/>
    <x v="37"/>
    <x v="8"/>
    <x v="2"/>
    <x v="28"/>
    <x v="1"/>
    <x v="30"/>
    <x v="30"/>
    <x v="0"/>
    <x v="0"/>
  </r>
  <r>
    <x v="38"/>
    <x v="38"/>
    <x v="8"/>
    <x v="12"/>
    <x v="29"/>
    <x v="0"/>
    <x v="31"/>
    <x v="31"/>
    <x v="0"/>
    <x v="0"/>
  </r>
  <r>
    <x v="39"/>
    <x v="39"/>
    <x v="8"/>
    <x v="26"/>
    <x v="0"/>
    <x v="0"/>
    <x v="32"/>
    <x v="32"/>
    <x v="2"/>
    <x v="6"/>
  </r>
  <r>
    <x v="40"/>
    <x v="40"/>
    <x v="8"/>
    <x v="2"/>
    <x v="30"/>
    <x v="0"/>
    <x v="32"/>
    <x v="32"/>
    <x v="2"/>
    <x v="5"/>
  </r>
  <r>
    <x v="41"/>
    <x v="41"/>
    <x v="8"/>
    <x v="24"/>
    <x v="31"/>
    <x v="1"/>
    <x v="33"/>
    <x v="33"/>
    <x v="1"/>
    <x v="0"/>
  </r>
  <r>
    <x v="42"/>
    <x v="42"/>
    <x v="8"/>
    <x v="19"/>
    <x v="14"/>
    <x v="1"/>
    <x v="34"/>
    <x v="34"/>
    <x v="0"/>
    <x v="0"/>
  </r>
  <r>
    <x v="43"/>
    <x v="43"/>
    <x v="8"/>
    <x v="27"/>
    <x v="31"/>
    <x v="1"/>
    <x v="19"/>
    <x v="19"/>
    <x v="0"/>
    <x v="1"/>
  </r>
  <r>
    <x v="44"/>
    <x v="44"/>
    <x v="8"/>
    <x v="28"/>
    <x v="21"/>
    <x v="0"/>
    <x v="35"/>
    <x v="35"/>
    <x v="0"/>
    <x v="0"/>
  </r>
  <r>
    <x v="45"/>
    <x v="45"/>
    <x v="8"/>
    <x v="29"/>
    <x v="0"/>
    <x v="0"/>
    <x v="36"/>
    <x v="36"/>
    <x v="0"/>
    <x v="0"/>
  </r>
  <r>
    <x v="46"/>
    <x v="46"/>
    <x v="8"/>
    <x v="30"/>
    <x v="16"/>
    <x v="1"/>
    <x v="37"/>
    <x v="37"/>
    <x v="0"/>
    <x v="3"/>
  </r>
  <r>
    <x v="47"/>
    <x v="47"/>
    <x v="8"/>
    <x v="24"/>
    <x v="32"/>
    <x v="0"/>
    <x v="38"/>
    <x v="38"/>
    <x v="0"/>
    <x v="3"/>
  </r>
  <r>
    <x v="48"/>
    <x v="48"/>
    <x v="8"/>
    <x v="31"/>
    <x v="30"/>
    <x v="0"/>
    <x v="39"/>
    <x v="39"/>
    <x v="1"/>
    <x v="3"/>
  </r>
  <r>
    <x v="49"/>
    <x v="49"/>
    <x v="8"/>
    <x v="32"/>
    <x v="33"/>
    <x v="1"/>
    <x v="40"/>
    <x v="40"/>
    <x v="0"/>
    <x v="0"/>
  </r>
  <r>
    <x v="50"/>
    <x v="50"/>
    <x v="8"/>
    <x v="33"/>
    <x v="17"/>
    <x v="0"/>
    <x v="34"/>
    <x v="34"/>
    <x v="0"/>
    <x v="0"/>
  </r>
  <r>
    <x v="51"/>
    <x v="51"/>
    <x v="8"/>
    <x v="22"/>
    <x v="34"/>
    <x v="0"/>
    <x v="41"/>
    <x v="41"/>
    <x v="0"/>
    <x v="0"/>
  </r>
  <r>
    <x v="52"/>
    <x v="52"/>
    <x v="8"/>
    <x v="34"/>
    <x v="35"/>
    <x v="0"/>
    <x v="42"/>
    <x v="42"/>
    <x v="2"/>
    <x v="6"/>
  </r>
  <r>
    <x v="53"/>
    <x v="53"/>
    <x v="8"/>
    <x v="35"/>
    <x v="20"/>
    <x v="0"/>
    <x v="40"/>
    <x v="40"/>
    <x v="0"/>
    <x v="3"/>
  </r>
  <r>
    <x v="54"/>
    <x v="54"/>
    <x v="8"/>
    <x v="36"/>
    <x v="36"/>
    <x v="1"/>
    <x v="43"/>
    <x v="43"/>
    <x v="1"/>
    <x v="0"/>
  </r>
  <r>
    <x v="55"/>
    <x v="55"/>
    <x v="8"/>
    <x v="19"/>
    <x v="37"/>
    <x v="0"/>
    <x v="44"/>
    <x v="44"/>
    <x v="1"/>
    <x v="1"/>
  </r>
  <r>
    <x v="56"/>
    <x v="56"/>
    <x v="8"/>
    <x v="11"/>
    <x v="38"/>
    <x v="0"/>
    <x v="42"/>
    <x v="42"/>
    <x v="2"/>
    <x v="6"/>
  </r>
  <r>
    <x v="57"/>
    <x v="57"/>
    <x v="8"/>
    <x v="37"/>
    <x v="39"/>
    <x v="1"/>
    <x v="29"/>
    <x v="29"/>
    <x v="1"/>
    <x v="0"/>
  </r>
  <r>
    <x v="58"/>
    <x v="58"/>
    <x v="9"/>
    <x v="12"/>
    <x v="34"/>
    <x v="0"/>
    <x v="17"/>
    <x v="17"/>
    <x v="0"/>
    <x v="0"/>
  </r>
  <r>
    <x v="59"/>
    <x v="59"/>
    <x v="9"/>
    <x v="19"/>
    <x v="2"/>
    <x v="1"/>
    <x v="45"/>
    <x v="45"/>
    <x v="2"/>
    <x v="6"/>
  </r>
  <r>
    <x v="60"/>
    <x v="60"/>
    <x v="9"/>
    <x v="38"/>
    <x v="27"/>
    <x v="0"/>
    <x v="46"/>
    <x v="46"/>
    <x v="0"/>
    <x v="0"/>
  </r>
  <r>
    <x v="61"/>
    <x v="61"/>
    <x v="9"/>
    <x v="39"/>
    <x v="40"/>
    <x v="1"/>
    <x v="44"/>
    <x v="44"/>
    <x v="1"/>
    <x v="1"/>
  </r>
  <r>
    <x v="62"/>
    <x v="62"/>
    <x v="9"/>
    <x v="40"/>
    <x v="41"/>
    <x v="0"/>
    <x v="47"/>
    <x v="47"/>
    <x v="0"/>
    <x v="3"/>
  </r>
  <r>
    <x v="63"/>
    <x v="63"/>
    <x v="9"/>
    <x v="41"/>
    <x v="42"/>
    <x v="1"/>
    <x v="48"/>
    <x v="48"/>
    <x v="0"/>
    <x v="1"/>
  </r>
  <r>
    <x v="64"/>
    <x v="64"/>
    <x v="9"/>
    <x v="42"/>
    <x v="31"/>
    <x v="1"/>
    <x v="24"/>
    <x v="24"/>
    <x v="0"/>
    <x v="0"/>
  </r>
  <r>
    <x v="65"/>
    <x v="65"/>
    <x v="9"/>
    <x v="24"/>
    <x v="43"/>
    <x v="0"/>
    <x v="36"/>
    <x v="36"/>
    <x v="0"/>
    <x v="2"/>
  </r>
  <r>
    <x v="66"/>
    <x v="66"/>
    <x v="9"/>
    <x v="39"/>
    <x v="42"/>
    <x v="1"/>
    <x v="41"/>
    <x v="41"/>
    <x v="0"/>
    <x v="3"/>
  </r>
  <r>
    <x v="67"/>
    <x v="67"/>
    <x v="9"/>
    <x v="15"/>
    <x v="4"/>
    <x v="0"/>
    <x v="23"/>
    <x v="23"/>
    <x v="0"/>
    <x v="2"/>
  </r>
  <r>
    <x v="68"/>
    <x v="68"/>
    <x v="9"/>
    <x v="43"/>
    <x v="4"/>
    <x v="0"/>
    <x v="32"/>
    <x v="32"/>
    <x v="2"/>
    <x v="2"/>
  </r>
  <r>
    <x v="69"/>
    <x v="69"/>
    <x v="9"/>
    <x v="44"/>
    <x v="12"/>
    <x v="0"/>
    <x v="49"/>
    <x v="49"/>
    <x v="0"/>
    <x v="0"/>
  </r>
  <r>
    <x v="70"/>
    <x v="70"/>
    <x v="9"/>
    <x v="8"/>
    <x v="44"/>
    <x v="0"/>
    <x v="50"/>
    <x v="50"/>
    <x v="0"/>
    <x v="6"/>
  </r>
  <r>
    <x v="71"/>
    <x v="71"/>
    <x v="9"/>
    <x v="45"/>
    <x v="45"/>
    <x v="1"/>
    <x v="51"/>
    <x v="51"/>
    <x v="1"/>
    <x v="0"/>
  </r>
  <r>
    <x v="72"/>
    <x v="72"/>
    <x v="9"/>
    <x v="37"/>
    <x v="46"/>
    <x v="0"/>
    <x v="24"/>
    <x v="24"/>
    <x v="0"/>
    <x v="0"/>
  </r>
  <r>
    <x v="73"/>
    <x v="73"/>
    <x v="9"/>
    <x v="11"/>
    <x v="36"/>
    <x v="1"/>
    <x v="27"/>
    <x v="27"/>
    <x v="1"/>
    <x v="1"/>
  </r>
  <r>
    <x v="74"/>
    <x v="74"/>
    <x v="9"/>
    <x v="46"/>
    <x v="47"/>
    <x v="0"/>
    <x v="52"/>
    <x v="52"/>
    <x v="0"/>
    <x v="5"/>
  </r>
  <r>
    <x v="75"/>
    <x v="75"/>
    <x v="9"/>
    <x v="24"/>
    <x v="48"/>
    <x v="1"/>
    <x v="53"/>
    <x v="53"/>
    <x v="0"/>
    <x v="3"/>
  </r>
  <r>
    <x v="76"/>
    <x v="76"/>
    <x v="9"/>
    <x v="12"/>
    <x v="28"/>
    <x v="1"/>
    <x v="54"/>
    <x v="54"/>
    <x v="1"/>
    <x v="1"/>
  </r>
  <r>
    <x v="77"/>
    <x v="77"/>
    <x v="9"/>
    <x v="47"/>
    <x v="49"/>
    <x v="0"/>
    <x v="55"/>
    <x v="55"/>
    <x v="1"/>
    <x v="3"/>
  </r>
  <r>
    <x v="78"/>
    <x v="78"/>
    <x v="9"/>
    <x v="48"/>
    <x v="41"/>
    <x v="0"/>
    <x v="48"/>
    <x v="48"/>
    <x v="0"/>
    <x v="4"/>
  </r>
  <r>
    <x v="79"/>
    <x v="79"/>
    <x v="9"/>
    <x v="49"/>
    <x v="50"/>
    <x v="1"/>
    <x v="34"/>
    <x v="34"/>
    <x v="0"/>
    <x v="4"/>
  </r>
  <r>
    <x v="80"/>
    <x v="80"/>
    <x v="9"/>
    <x v="50"/>
    <x v="45"/>
    <x v="1"/>
    <x v="56"/>
    <x v="56"/>
    <x v="1"/>
    <x v="1"/>
  </r>
  <r>
    <x v="81"/>
    <x v="81"/>
    <x v="9"/>
    <x v="12"/>
    <x v="42"/>
    <x v="1"/>
    <x v="57"/>
    <x v="57"/>
    <x v="0"/>
    <x v="0"/>
  </r>
  <r>
    <x v="82"/>
    <x v="82"/>
    <x v="9"/>
    <x v="51"/>
    <x v="5"/>
    <x v="1"/>
    <x v="58"/>
    <x v="58"/>
    <x v="1"/>
    <x v="0"/>
  </r>
  <r>
    <x v="83"/>
    <x v="83"/>
    <x v="10"/>
    <x v="19"/>
    <x v="22"/>
    <x v="0"/>
    <x v="57"/>
    <x v="57"/>
    <x v="0"/>
    <x v="0"/>
  </r>
  <r>
    <x v="84"/>
    <x v="84"/>
    <x v="10"/>
    <x v="52"/>
    <x v="17"/>
    <x v="0"/>
    <x v="59"/>
    <x v="59"/>
    <x v="2"/>
    <x v="6"/>
  </r>
  <r>
    <x v="85"/>
    <x v="85"/>
    <x v="10"/>
    <x v="5"/>
    <x v="5"/>
    <x v="1"/>
    <x v="60"/>
    <x v="60"/>
    <x v="0"/>
    <x v="0"/>
  </r>
  <r>
    <x v="86"/>
    <x v="86"/>
    <x v="10"/>
    <x v="53"/>
    <x v="51"/>
    <x v="0"/>
    <x v="26"/>
    <x v="26"/>
    <x v="2"/>
    <x v="3"/>
  </r>
  <r>
    <x v="87"/>
    <x v="87"/>
    <x v="10"/>
    <x v="54"/>
    <x v="17"/>
    <x v="0"/>
    <x v="7"/>
    <x v="7"/>
    <x v="1"/>
    <x v="0"/>
  </r>
  <r>
    <x v="88"/>
    <x v="88"/>
    <x v="10"/>
    <x v="55"/>
    <x v="22"/>
    <x v="0"/>
    <x v="16"/>
    <x v="16"/>
    <x v="0"/>
    <x v="1"/>
  </r>
  <r>
    <x v="89"/>
    <x v="89"/>
    <x v="10"/>
    <x v="56"/>
    <x v="10"/>
    <x v="0"/>
    <x v="61"/>
    <x v="61"/>
    <x v="0"/>
    <x v="0"/>
  </r>
  <r>
    <x v="90"/>
    <x v="90"/>
    <x v="10"/>
    <x v="57"/>
    <x v="28"/>
    <x v="1"/>
    <x v="61"/>
    <x v="61"/>
    <x v="0"/>
    <x v="0"/>
  </r>
  <r>
    <x v="91"/>
    <x v="91"/>
    <x v="10"/>
    <x v="24"/>
    <x v="49"/>
    <x v="0"/>
    <x v="62"/>
    <x v="62"/>
    <x v="1"/>
    <x v="0"/>
  </r>
  <r>
    <x v="92"/>
    <x v="92"/>
    <x v="10"/>
    <x v="58"/>
    <x v="52"/>
    <x v="0"/>
    <x v="63"/>
    <x v="63"/>
    <x v="0"/>
    <x v="6"/>
  </r>
  <r>
    <x v="93"/>
    <x v="93"/>
    <x v="10"/>
    <x v="59"/>
    <x v="26"/>
    <x v="0"/>
    <x v="0"/>
    <x v="0"/>
    <x v="0"/>
    <x v="5"/>
  </r>
  <r>
    <x v="94"/>
    <x v="94"/>
    <x v="10"/>
    <x v="60"/>
    <x v="27"/>
    <x v="0"/>
    <x v="38"/>
    <x v="38"/>
    <x v="0"/>
    <x v="7"/>
  </r>
  <r>
    <x v="95"/>
    <x v="95"/>
    <x v="10"/>
    <x v="24"/>
    <x v="53"/>
    <x v="0"/>
    <x v="64"/>
    <x v="64"/>
    <x v="0"/>
    <x v="3"/>
  </r>
  <r>
    <x v="96"/>
    <x v="96"/>
    <x v="10"/>
    <x v="61"/>
    <x v="11"/>
    <x v="1"/>
    <x v="63"/>
    <x v="63"/>
    <x v="0"/>
    <x v="6"/>
  </r>
  <r>
    <x v="97"/>
    <x v="97"/>
    <x v="10"/>
    <x v="62"/>
    <x v="36"/>
    <x v="1"/>
    <x v="47"/>
    <x v="47"/>
    <x v="0"/>
    <x v="0"/>
  </r>
  <r>
    <x v="98"/>
    <x v="98"/>
    <x v="10"/>
    <x v="63"/>
    <x v="52"/>
    <x v="0"/>
    <x v="52"/>
    <x v="52"/>
    <x v="0"/>
    <x v="5"/>
  </r>
  <r>
    <x v="99"/>
    <x v="99"/>
    <x v="10"/>
    <x v="64"/>
    <x v="54"/>
    <x v="1"/>
    <x v="65"/>
    <x v="65"/>
    <x v="0"/>
    <x v="0"/>
  </r>
  <r>
    <x v="100"/>
    <x v="100"/>
    <x v="10"/>
    <x v="24"/>
    <x v="11"/>
    <x v="1"/>
    <x v="64"/>
    <x v="64"/>
    <x v="0"/>
    <x v="0"/>
  </r>
  <r>
    <x v="101"/>
    <x v="101"/>
    <x v="10"/>
    <x v="65"/>
    <x v="29"/>
    <x v="0"/>
    <x v="50"/>
    <x v="50"/>
    <x v="0"/>
    <x v="2"/>
  </r>
  <r>
    <x v="102"/>
    <x v="102"/>
    <x v="10"/>
    <x v="66"/>
    <x v="24"/>
    <x v="0"/>
    <x v="66"/>
    <x v="66"/>
    <x v="1"/>
    <x v="2"/>
  </r>
  <r>
    <x v="103"/>
    <x v="103"/>
    <x v="10"/>
    <x v="67"/>
    <x v="37"/>
    <x v="0"/>
    <x v="48"/>
    <x v="48"/>
    <x v="0"/>
    <x v="6"/>
  </r>
  <r>
    <x v="104"/>
    <x v="104"/>
    <x v="10"/>
    <x v="24"/>
    <x v="55"/>
    <x v="0"/>
    <x v="67"/>
    <x v="67"/>
    <x v="2"/>
    <x v="0"/>
  </r>
  <r>
    <x v="105"/>
    <x v="105"/>
    <x v="10"/>
    <x v="25"/>
    <x v="53"/>
    <x v="0"/>
    <x v="56"/>
    <x v="56"/>
    <x v="1"/>
    <x v="0"/>
  </r>
  <r>
    <x v="106"/>
    <x v="106"/>
    <x v="10"/>
    <x v="68"/>
    <x v="17"/>
    <x v="0"/>
    <x v="56"/>
    <x v="56"/>
    <x v="1"/>
    <x v="0"/>
  </r>
  <r>
    <x v="107"/>
    <x v="107"/>
    <x v="10"/>
    <x v="69"/>
    <x v="56"/>
    <x v="0"/>
    <x v="68"/>
    <x v="68"/>
    <x v="0"/>
    <x v="2"/>
  </r>
  <r>
    <x v="108"/>
    <x v="108"/>
    <x v="10"/>
    <x v="70"/>
    <x v="45"/>
    <x v="1"/>
    <x v="4"/>
    <x v="4"/>
    <x v="2"/>
    <x v="3"/>
  </r>
  <r>
    <x v="109"/>
    <x v="109"/>
    <x v="10"/>
    <x v="71"/>
    <x v="57"/>
    <x v="0"/>
    <x v="13"/>
    <x v="13"/>
    <x v="0"/>
    <x v="2"/>
  </r>
  <r>
    <x v="110"/>
    <x v="110"/>
    <x v="10"/>
    <x v="72"/>
    <x v="38"/>
    <x v="0"/>
    <x v="67"/>
    <x v="67"/>
    <x v="2"/>
    <x v="8"/>
  </r>
  <r>
    <x v="111"/>
    <x v="111"/>
    <x v="10"/>
    <x v="73"/>
    <x v="7"/>
    <x v="1"/>
    <x v="61"/>
    <x v="61"/>
    <x v="0"/>
    <x v="0"/>
  </r>
  <r>
    <x v="112"/>
    <x v="112"/>
    <x v="10"/>
    <x v="74"/>
    <x v="58"/>
    <x v="1"/>
    <x v="69"/>
    <x v="69"/>
    <x v="1"/>
    <x v="3"/>
  </r>
  <r>
    <x v="113"/>
    <x v="113"/>
    <x v="10"/>
    <x v="75"/>
    <x v="33"/>
    <x v="1"/>
    <x v="70"/>
    <x v="70"/>
    <x v="0"/>
    <x v="1"/>
  </r>
  <r>
    <x v="114"/>
    <x v="114"/>
    <x v="10"/>
    <x v="31"/>
    <x v="24"/>
    <x v="0"/>
    <x v="71"/>
    <x v="71"/>
    <x v="0"/>
    <x v="2"/>
  </r>
  <r>
    <x v="115"/>
    <x v="115"/>
    <x v="10"/>
    <x v="76"/>
    <x v="59"/>
    <x v="0"/>
    <x v="51"/>
    <x v="51"/>
    <x v="1"/>
    <x v="5"/>
  </r>
  <r>
    <x v="116"/>
    <x v="116"/>
    <x v="10"/>
    <x v="77"/>
    <x v="16"/>
    <x v="1"/>
    <x v="72"/>
    <x v="72"/>
    <x v="1"/>
    <x v="0"/>
  </r>
  <r>
    <x v="117"/>
    <x v="117"/>
    <x v="10"/>
    <x v="78"/>
    <x v="50"/>
    <x v="1"/>
    <x v="73"/>
    <x v="73"/>
    <x v="1"/>
    <x v="5"/>
  </r>
  <r>
    <x v="118"/>
    <x v="118"/>
    <x v="10"/>
    <x v="79"/>
    <x v="60"/>
    <x v="1"/>
    <x v="55"/>
    <x v="55"/>
    <x v="1"/>
    <x v="1"/>
  </r>
  <r>
    <x v="119"/>
    <x v="119"/>
    <x v="10"/>
    <x v="80"/>
    <x v="61"/>
    <x v="0"/>
    <x v="9"/>
    <x v="9"/>
    <x v="1"/>
    <x v="2"/>
  </r>
  <r>
    <x v="120"/>
    <x v="120"/>
    <x v="10"/>
    <x v="81"/>
    <x v="40"/>
    <x v="1"/>
    <x v="74"/>
    <x v="74"/>
    <x v="0"/>
    <x v="4"/>
  </r>
  <r>
    <x v="121"/>
    <x v="121"/>
    <x v="11"/>
    <x v="82"/>
    <x v="62"/>
    <x v="0"/>
    <x v="23"/>
    <x v="23"/>
    <x v="0"/>
    <x v="0"/>
  </r>
  <r>
    <x v="122"/>
    <x v="122"/>
    <x v="11"/>
    <x v="83"/>
    <x v="63"/>
    <x v="0"/>
    <x v="35"/>
    <x v="35"/>
    <x v="0"/>
    <x v="3"/>
  </r>
  <r>
    <x v="123"/>
    <x v="123"/>
    <x v="11"/>
    <x v="84"/>
    <x v="64"/>
    <x v="0"/>
    <x v="75"/>
    <x v="75"/>
    <x v="0"/>
    <x v="3"/>
  </r>
  <r>
    <x v="124"/>
    <x v="124"/>
    <x v="11"/>
    <x v="85"/>
    <x v="30"/>
    <x v="0"/>
    <x v="30"/>
    <x v="30"/>
    <x v="0"/>
    <x v="0"/>
  </r>
  <r>
    <x v="125"/>
    <x v="125"/>
    <x v="11"/>
    <x v="86"/>
    <x v="65"/>
    <x v="0"/>
    <x v="18"/>
    <x v="18"/>
    <x v="0"/>
    <x v="1"/>
  </r>
  <r>
    <x v="126"/>
    <x v="126"/>
    <x v="11"/>
    <x v="15"/>
    <x v="66"/>
    <x v="0"/>
    <x v="71"/>
    <x v="71"/>
    <x v="0"/>
    <x v="3"/>
  </r>
  <r>
    <x v="127"/>
    <x v="127"/>
    <x v="11"/>
    <x v="87"/>
    <x v="67"/>
    <x v="0"/>
    <x v="13"/>
    <x v="13"/>
    <x v="0"/>
    <x v="0"/>
  </r>
  <r>
    <x v="128"/>
    <x v="128"/>
    <x v="11"/>
    <x v="19"/>
    <x v="27"/>
    <x v="0"/>
    <x v="38"/>
    <x v="38"/>
    <x v="0"/>
    <x v="0"/>
  </r>
  <r>
    <x v="129"/>
    <x v="129"/>
    <x v="11"/>
    <x v="15"/>
    <x v="28"/>
    <x v="1"/>
    <x v="35"/>
    <x v="35"/>
    <x v="0"/>
    <x v="0"/>
  </r>
  <r>
    <x v="130"/>
    <x v="130"/>
    <x v="11"/>
    <x v="88"/>
    <x v="22"/>
    <x v="0"/>
    <x v="76"/>
    <x v="76"/>
    <x v="0"/>
    <x v="0"/>
  </r>
  <r>
    <x v="131"/>
    <x v="131"/>
    <x v="11"/>
    <x v="31"/>
    <x v="54"/>
    <x v="1"/>
    <x v="77"/>
    <x v="77"/>
    <x v="1"/>
    <x v="0"/>
  </r>
  <r>
    <x v="132"/>
    <x v="132"/>
    <x v="11"/>
    <x v="89"/>
    <x v="68"/>
    <x v="0"/>
    <x v="78"/>
    <x v="78"/>
    <x v="2"/>
    <x v="5"/>
  </r>
  <r>
    <x v="133"/>
    <x v="133"/>
    <x v="11"/>
    <x v="5"/>
    <x v="69"/>
    <x v="1"/>
    <x v="72"/>
    <x v="72"/>
    <x v="1"/>
    <x v="0"/>
  </r>
  <r>
    <x v="134"/>
    <x v="134"/>
    <x v="11"/>
    <x v="90"/>
    <x v="42"/>
    <x v="1"/>
    <x v="19"/>
    <x v="19"/>
    <x v="0"/>
    <x v="1"/>
  </r>
  <r>
    <x v="135"/>
    <x v="135"/>
    <x v="11"/>
    <x v="91"/>
    <x v="21"/>
    <x v="0"/>
    <x v="63"/>
    <x v="63"/>
    <x v="0"/>
    <x v="3"/>
  </r>
  <r>
    <x v="136"/>
    <x v="136"/>
    <x v="11"/>
    <x v="12"/>
    <x v="70"/>
    <x v="1"/>
    <x v="37"/>
    <x v="37"/>
    <x v="0"/>
    <x v="1"/>
  </r>
  <r>
    <x v="137"/>
    <x v="137"/>
    <x v="11"/>
    <x v="56"/>
    <x v="71"/>
    <x v="0"/>
    <x v="79"/>
    <x v="79"/>
    <x v="0"/>
    <x v="0"/>
  </r>
  <r>
    <x v="138"/>
    <x v="138"/>
    <x v="11"/>
    <x v="92"/>
    <x v="72"/>
    <x v="0"/>
    <x v="30"/>
    <x v="30"/>
    <x v="0"/>
    <x v="0"/>
  </r>
  <r>
    <x v="139"/>
    <x v="139"/>
    <x v="11"/>
    <x v="93"/>
    <x v="11"/>
    <x v="1"/>
    <x v="76"/>
    <x v="76"/>
    <x v="0"/>
    <x v="0"/>
  </r>
  <r>
    <x v="140"/>
    <x v="140"/>
    <x v="11"/>
    <x v="94"/>
    <x v="57"/>
    <x v="0"/>
    <x v="25"/>
    <x v="25"/>
    <x v="0"/>
    <x v="2"/>
  </r>
  <r>
    <x v="141"/>
    <x v="141"/>
    <x v="11"/>
    <x v="95"/>
    <x v="6"/>
    <x v="0"/>
    <x v="18"/>
    <x v="18"/>
    <x v="0"/>
    <x v="1"/>
  </r>
  <r>
    <x v="142"/>
    <x v="142"/>
    <x v="11"/>
    <x v="96"/>
    <x v="39"/>
    <x v="1"/>
    <x v="73"/>
    <x v="73"/>
    <x v="1"/>
    <x v="0"/>
  </r>
  <r>
    <x v="143"/>
    <x v="143"/>
    <x v="11"/>
    <x v="12"/>
    <x v="58"/>
    <x v="1"/>
    <x v="80"/>
    <x v="80"/>
    <x v="1"/>
    <x v="0"/>
  </r>
  <r>
    <x v="144"/>
    <x v="144"/>
    <x v="11"/>
    <x v="97"/>
    <x v="73"/>
    <x v="0"/>
    <x v="81"/>
    <x v="81"/>
    <x v="2"/>
    <x v="8"/>
  </r>
  <r>
    <x v="145"/>
    <x v="145"/>
    <x v="11"/>
    <x v="98"/>
    <x v="60"/>
    <x v="1"/>
    <x v="82"/>
    <x v="82"/>
    <x v="2"/>
    <x v="1"/>
  </r>
  <r>
    <x v="146"/>
    <x v="146"/>
    <x v="11"/>
    <x v="24"/>
    <x v="43"/>
    <x v="0"/>
    <x v="76"/>
    <x v="76"/>
    <x v="0"/>
    <x v="2"/>
  </r>
  <r>
    <x v="147"/>
    <x v="147"/>
    <x v="11"/>
    <x v="99"/>
    <x v="10"/>
    <x v="0"/>
    <x v="68"/>
    <x v="68"/>
    <x v="0"/>
    <x v="1"/>
  </r>
  <r>
    <x v="148"/>
    <x v="148"/>
    <x v="11"/>
    <x v="100"/>
    <x v="26"/>
    <x v="0"/>
    <x v="55"/>
    <x v="55"/>
    <x v="1"/>
    <x v="0"/>
  </r>
  <r>
    <x v="149"/>
    <x v="149"/>
    <x v="11"/>
    <x v="101"/>
    <x v="17"/>
    <x v="0"/>
    <x v="7"/>
    <x v="7"/>
    <x v="1"/>
    <x v="0"/>
  </r>
  <r>
    <x v="150"/>
    <x v="150"/>
    <x v="11"/>
    <x v="102"/>
    <x v="58"/>
    <x v="1"/>
    <x v="61"/>
    <x v="61"/>
    <x v="0"/>
    <x v="0"/>
  </r>
  <r>
    <x v="151"/>
    <x v="151"/>
    <x v="11"/>
    <x v="19"/>
    <x v="74"/>
    <x v="0"/>
    <x v="31"/>
    <x v="31"/>
    <x v="0"/>
    <x v="0"/>
  </r>
  <r>
    <x v="152"/>
    <x v="152"/>
    <x v="11"/>
    <x v="103"/>
    <x v="75"/>
    <x v="1"/>
    <x v="19"/>
    <x v="19"/>
    <x v="0"/>
    <x v="1"/>
  </r>
  <r>
    <x v="153"/>
    <x v="153"/>
    <x v="11"/>
    <x v="31"/>
    <x v="55"/>
    <x v="0"/>
    <x v="19"/>
    <x v="19"/>
    <x v="0"/>
    <x v="0"/>
  </r>
  <r>
    <x v="154"/>
    <x v="154"/>
    <x v="11"/>
    <x v="104"/>
    <x v="31"/>
    <x v="1"/>
    <x v="20"/>
    <x v="20"/>
    <x v="0"/>
    <x v="0"/>
  </r>
  <r>
    <x v="155"/>
    <x v="155"/>
    <x v="11"/>
    <x v="105"/>
    <x v="5"/>
    <x v="1"/>
    <x v="83"/>
    <x v="83"/>
    <x v="0"/>
    <x v="0"/>
  </r>
  <r>
    <x v="156"/>
    <x v="156"/>
    <x v="11"/>
    <x v="24"/>
    <x v="69"/>
    <x v="1"/>
    <x v="51"/>
    <x v="51"/>
    <x v="1"/>
    <x v="0"/>
  </r>
  <r>
    <x v="157"/>
    <x v="157"/>
    <x v="11"/>
    <x v="106"/>
    <x v="7"/>
    <x v="1"/>
    <x v="84"/>
    <x v="84"/>
    <x v="0"/>
    <x v="1"/>
  </r>
  <r>
    <x v="158"/>
    <x v="158"/>
    <x v="11"/>
    <x v="74"/>
    <x v="68"/>
    <x v="0"/>
    <x v="57"/>
    <x v="57"/>
    <x v="0"/>
    <x v="2"/>
  </r>
  <r>
    <x v="159"/>
    <x v="159"/>
    <x v="11"/>
    <x v="107"/>
    <x v="54"/>
    <x v="1"/>
    <x v="35"/>
    <x v="35"/>
    <x v="0"/>
    <x v="3"/>
  </r>
  <r>
    <x v="160"/>
    <x v="160"/>
    <x v="11"/>
    <x v="108"/>
    <x v="5"/>
    <x v="1"/>
    <x v="85"/>
    <x v="85"/>
    <x v="0"/>
    <x v="6"/>
  </r>
  <r>
    <x v="161"/>
    <x v="161"/>
    <x v="11"/>
    <x v="55"/>
    <x v="61"/>
    <x v="0"/>
    <x v="36"/>
    <x v="36"/>
    <x v="0"/>
    <x v="5"/>
  </r>
  <r>
    <x v="162"/>
    <x v="162"/>
    <x v="11"/>
    <x v="94"/>
    <x v="47"/>
    <x v="0"/>
    <x v="86"/>
    <x v="86"/>
    <x v="1"/>
    <x v="2"/>
  </r>
  <r>
    <x v="163"/>
    <x v="163"/>
    <x v="11"/>
    <x v="109"/>
    <x v="15"/>
    <x v="0"/>
    <x v="87"/>
    <x v="87"/>
    <x v="2"/>
    <x v="3"/>
  </r>
  <r>
    <x v="164"/>
    <x v="164"/>
    <x v="11"/>
    <x v="110"/>
    <x v="12"/>
    <x v="0"/>
    <x v="12"/>
    <x v="12"/>
    <x v="0"/>
    <x v="3"/>
  </r>
  <r>
    <x v="165"/>
    <x v="165"/>
    <x v="11"/>
    <x v="111"/>
    <x v="28"/>
    <x v="1"/>
    <x v="4"/>
    <x v="4"/>
    <x v="2"/>
    <x v="3"/>
  </r>
  <r>
    <x v="166"/>
    <x v="166"/>
    <x v="11"/>
    <x v="112"/>
    <x v="20"/>
    <x v="0"/>
    <x v="53"/>
    <x v="53"/>
    <x v="0"/>
    <x v="3"/>
  </r>
  <r>
    <x v="167"/>
    <x v="167"/>
    <x v="11"/>
    <x v="28"/>
    <x v="76"/>
    <x v="0"/>
    <x v="88"/>
    <x v="88"/>
    <x v="1"/>
    <x v="6"/>
  </r>
  <r>
    <x v="168"/>
    <x v="168"/>
    <x v="11"/>
    <x v="24"/>
    <x v="45"/>
    <x v="1"/>
    <x v="71"/>
    <x v="71"/>
    <x v="0"/>
    <x v="0"/>
  </r>
  <r>
    <x v="169"/>
    <x v="169"/>
    <x v="11"/>
    <x v="113"/>
    <x v="40"/>
    <x v="1"/>
    <x v="38"/>
    <x v="38"/>
    <x v="0"/>
    <x v="3"/>
  </r>
  <r>
    <x v="170"/>
    <x v="170"/>
    <x v="11"/>
    <x v="114"/>
    <x v="22"/>
    <x v="0"/>
    <x v="78"/>
    <x v="78"/>
    <x v="2"/>
    <x v="3"/>
  </r>
  <r>
    <x v="171"/>
    <x v="171"/>
    <x v="11"/>
    <x v="115"/>
    <x v="25"/>
    <x v="1"/>
    <x v="11"/>
    <x v="11"/>
    <x v="0"/>
    <x v="1"/>
  </r>
  <r>
    <x v="172"/>
    <x v="172"/>
    <x v="11"/>
    <x v="24"/>
    <x v="50"/>
    <x v="1"/>
    <x v="19"/>
    <x v="19"/>
    <x v="0"/>
    <x v="5"/>
  </r>
  <r>
    <x v="173"/>
    <x v="173"/>
    <x v="11"/>
    <x v="116"/>
    <x v="70"/>
    <x v="1"/>
    <x v="40"/>
    <x v="40"/>
    <x v="0"/>
    <x v="5"/>
  </r>
  <r>
    <x v="174"/>
    <x v="174"/>
    <x v="11"/>
    <x v="117"/>
    <x v="60"/>
    <x v="1"/>
    <x v="41"/>
    <x v="41"/>
    <x v="0"/>
    <x v="0"/>
  </r>
  <r>
    <x v="175"/>
    <x v="175"/>
    <x v="11"/>
    <x v="118"/>
    <x v="36"/>
    <x v="1"/>
    <x v="89"/>
    <x v="89"/>
    <x v="1"/>
    <x v="5"/>
  </r>
  <r>
    <x v="176"/>
    <x v="176"/>
    <x v="11"/>
    <x v="31"/>
    <x v="42"/>
    <x v="1"/>
    <x v="10"/>
    <x v="10"/>
    <x v="0"/>
    <x v="5"/>
  </r>
  <r>
    <x v="177"/>
    <x v="177"/>
    <x v="12"/>
    <x v="119"/>
    <x v="3"/>
    <x v="0"/>
    <x v="19"/>
    <x v="19"/>
    <x v="0"/>
    <x v="0"/>
  </r>
  <r>
    <x v="178"/>
    <x v="178"/>
    <x v="12"/>
    <x v="64"/>
    <x v="21"/>
    <x v="0"/>
    <x v="68"/>
    <x v="68"/>
    <x v="0"/>
    <x v="0"/>
  </r>
  <r>
    <x v="179"/>
    <x v="179"/>
    <x v="12"/>
    <x v="120"/>
    <x v="70"/>
    <x v="1"/>
    <x v="30"/>
    <x v="30"/>
    <x v="0"/>
    <x v="0"/>
  </r>
  <r>
    <x v="180"/>
    <x v="180"/>
    <x v="12"/>
    <x v="109"/>
    <x v="43"/>
    <x v="0"/>
    <x v="32"/>
    <x v="32"/>
    <x v="2"/>
    <x v="5"/>
  </r>
  <r>
    <x v="181"/>
    <x v="181"/>
    <x v="12"/>
    <x v="121"/>
    <x v="77"/>
    <x v="1"/>
    <x v="26"/>
    <x v="26"/>
    <x v="2"/>
    <x v="3"/>
  </r>
  <r>
    <x v="182"/>
    <x v="182"/>
    <x v="12"/>
    <x v="122"/>
    <x v="9"/>
    <x v="1"/>
    <x v="74"/>
    <x v="74"/>
    <x v="0"/>
    <x v="1"/>
  </r>
  <r>
    <x v="183"/>
    <x v="183"/>
    <x v="12"/>
    <x v="123"/>
    <x v="48"/>
    <x v="1"/>
    <x v="47"/>
    <x v="47"/>
    <x v="0"/>
    <x v="0"/>
  </r>
  <r>
    <x v="184"/>
    <x v="184"/>
    <x v="12"/>
    <x v="24"/>
    <x v="78"/>
    <x v="0"/>
    <x v="90"/>
    <x v="90"/>
    <x v="2"/>
    <x v="0"/>
  </r>
  <r>
    <x v="185"/>
    <x v="185"/>
    <x v="12"/>
    <x v="124"/>
    <x v="4"/>
    <x v="0"/>
    <x v="73"/>
    <x v="73"/>
    <x v="1"/>
    <x v="3"/>
  </r>
  <r>
    <x v="186"/>
    <x v="186"/>
    <x v="12"/>
    <x v="76"/>
    <x v="33"/>
    <x v="1"/>
    <x v="19"/>
    <x v="19"/>
    <x v="0"/>
    <x v="1"/>
  </r>
  <r>
    <x v="187"/>
    <x v="187"/>
    <x v="12"/>
    <x v="125"/>
    <x v="12"/>
    <x v="0"/>
    <x v="71"/>
    <x v="71"/>
    <x v="0"/>
    <x v="0"/>
  </r>
  <r>
    <x v="188"/>
    <x v="188"/>
    <x v="12"/>
    <x v="126"/>
    <x v="78"/>
    <x v="0"/>
    <x v="45"/>
    <x v="45"/>
    <x v="2"/>
    <x v="0"/>
  </r>
  <r>
    <x v="189"/>
    <x v="189"/>
    <x v="12"/>
    <x v="127"/>
    <x v="33"/>
    <x v="1"/>
    <x v="37"/>
    <x v="37"/>
    <x v="0"/>
    <x v="1"/>
  </r>
  <r>
    <x v="190"/>
    <x v="190"/>
    <x v="12"/>
    <x v="128"/>
    <x v="65"/>
    <x v="0"/>
    <x v="75"/>
    <x v="75"/>
    <x v="0"/>
    <x v="3"/>
  </r>
  <r>
    <x v="191"/>
    <x v="191"/>
    <x v="12"/>
    <x v="129"/>
    <x v="54"/>
    <x v="1"/>
    <x v="30"/>
    <x v="30"/>
    <x v="0"/>
    <x v="1"/>
  </r>
  <r>
    <x v="192"/>
    <x v="192"/>
    <x v="12"/>
    <x v="130"/>
    <x v="57"/>
    <x v="0"/>
    <x v="91"/>
    <x v="91"/>
    <x v="1"/>
    <x v="6"/>
  </r>
  <r>
    <x v="193"/>
    <x v="193"/>
    <x v="12"/>
    <x v="131"/>
    <x v="77"/>
    <x v="1"/>
    <x v="60"/>
    <x v="61"/>
    <x v="0"/>
    <x v="0"/>
  </r>
  <r>
    <x v="194"/>
    <x v="194"/>
    <x v="12"/>
    <x v="132"/>
    <x v="15"/>
    <x v="0"/>
    <x v="92"/>
    <x v="92"/>
    <x v="1"/>
    <x v="3"/>
  </r>
  <r>
    <x v="195"/>
    <x v="195"/>
    <x v="12"/>
    <x v="133"/>
    <x v="2"/>
    <x v="1"/>
    <x v="23"/>
    <x v="23"/>
    <x v="0"/>
    <x v="0"/>
  </r>
  <r>
    <x v="196"/>
    <x v="196"/>
    <x v="12"/>
    <x v="134"/>
    <x v="30"/>
    <x v="0"/>
    <x v="93"/>
    <x v="93"/>
    <x v="2"/>
    <x v="6"/>
  </r>
  <r>
    <x v="197"/>
    <x v="197"/>
    <x v="12"/>
    <x v="12"/>
    <x v="50"/>
    <x v="1"/>
    <x v="10"/>
    <x v="10"/>
    <x v="0"/>
    <x v="0"/>
  </r>
  <r>
    <x v="198"/>
    <x v="198"/>
    <x v="12"/>
    <x v="135"/>
    <x v="14"/>
    <x v="1"/>
    <x v="67"/>
    <x v="67"/>
    <x v="2"/>
    <x v="0"/>
  </r>
  <r>
    <x v="199"/>
    <x v="199"/>
    <x v="12"/>
    <x v="31"/>
    <x v="69"/>
    <x v="1"/>
    <x v="94"/>
    <x v="94"/>
    <x v="0"/>
    <x v="0"/>
  </r>
  <r>
    <x v="200"/>
    <x v="200"/>
    <x v="12"/>
    <x v="136"/>
    <x v="17"/>
    <x v="0"/>
    <x v="95"/>
    <x v="95"/>
    <x v="0"/>
    <x v="0"/>
  </r>
  <r>
    <x v="201"/>
    <x v="201"/>
    <x v="12"/>
    <x v="137"/>
    <x v="74"/>
    <x v="0"/>
    <x v="41"/>
    <x v="41"/>
    <x v="0"/>
    <x v="0"/>
  </r>
  <r>
    <x v="202"/>
    <x v="202"/>
    <x v="12"/>
    <x v="138"/>
    <x v="5"/>
    <x v="1"/>
    <x v="30"/>
    <x v="30"/>
    <x v="0"/>
    <x v="5"/>
  </r>
  <r>
    <x v="203"/>
    <x v="203"/>
    <x v="12"/>
    <x v="139"/>
    <x v="58"/>
    <x v="1"/>
    <x v="83"/>
    <x v="83"/>
    <x v="0"/>
    <x v="6"/>
  </r>
  <r>
    <x v="204"/>
    <x v="204"/>
    <x v="12"/>
    <x v="140"/>
    <x v="14"/>
    <x v="1"/>
    <x v="48"/>
    <x v="48"/>
    <x v="0"/>
    <x v="0"/>
  </r>
  <r>
    <x v="205"/>
    <x v="205"/>
    <x v="12"/>
    <x v="141"/>
    <x v="11"/>
    <x v="1"/>
    <x v="45"/>
    <x v="45"/>
    <x v="2"/>
    <x v="3"/>
  </r>
  <r>
    <x v="206"/>
    <x v="206"/>
    <x v="12"/>
    <x v="137"/>
    <x v="7"/>
    <x v="1"/>
    <x v="96"/>
    <x v="96"/>
    <x v="2"/>
    <x v="6"/>
  </r>
  <r>
    <x v="207"/>
    <x v="207"/>
    <x v="12"/>
    <x v="142"/>
    <x v="15"/>
    <x v="0"/>
    <x v="12"/>
    <x v="12"/>
    <x v="0"/>
    <x v="3"/>
  </r>
  <r>
    <x v="208"/>
    <x v="208"/>
    <x v="12"/>
    <x v="143"/>
    <x v="6"/>
    <x v="0"/>
    <x v="16"/>
    <x v="16"/>
    <x v="0"/>
    <x v="0"/>
  </r>
  <r>
    <x v="209"/>
    <x v="209"/>
    <x v="12"/>
    <x v="144"/>
    <x v="28"/>
    <x v="1"/>
    <x v="2"/>
    <x v="2"/>
    <x v="1"/>
    <x v="1"/>
  </r>
  <r>
    <x v="210"/>
    <x v="210"/>
    <x v="12"/>
    <x v="145"/>
    <x v="14"/>
    <x v="1"/>
    <x v="61"/>
    <x v="61"/>
    <x v="0"/>
    <x v="0"/>
  </r>
  <r>
    <x v="211"/>
    <x v="211"/>
    <x v="12"/>
    <x v="146"/>
    <x v="79"/>
    <x v="0"/>
    <x v="26"/>
    <x v="26"/>
    <x v="2"/>
    <x v="2"/>
  </r>
  <r>
    <x v="212"/>
    <x v="212"/>
    <x v="12"/>
    <x v="147"/>
    <x v="80"/>
    <x v="0"/>
    <x v="97"/>
    <x v="97"/>
    <x v="2"/>
    <x v="8"/>
  </r>
  <r>
    <x v="213"/>
    <x v="213"/>
    <x v="12"/>
    <x v="148"/>
    <x v="45"/>
    <x v="1"/>
    <x v="96"/>
    <x v="96"/>
    <x v="2"/>
    <x v="5"/>
  </r>
  <r>
    <x v="214"/>
    <x v="214"/>
    <x v="12"/>
    <x v="149"/>
    <x v="81"/>
    <x v="0"/>
    <x v="98"/>
    <x v="72"/>
    <x v="1"/>
    <x v="0"/>
  </r>
  <r>
    <x v="215"/>
    <x v="215"/>
    <x v="12"/>
    <x v="150"/>
    <x v="82"/>
    <x v="0"/>
    <x v="77"/>
    <x v="77"/>
    <x v="1"/>
    <x v="5"/>
  </r>
  <r>
    <x v="216"/>
    <x v="216"/>
    <x v="12"/>
    <x v="151"/>
    <x v="83"/>
    <x v="0"/>
    <x v="99"/>
    <x v="98"/>
    <x v="2"/>
    <x v="8"/>
  </r>
  <r>
    <x v="217"/>
    <x v="217"/>
    <x v="12"/>
    <x v="19"/>
    <x v="76"/>
    <x v="0"/>
    <x v="71"/>
    <x v="71"/>
    <x v="0"/>
    <x v="2"/>
  </r>
  <r>
    <x v="218"/>
    <x v="218"/>
    <x v="12"/>
    <x v="152"/>
    <x v="48"/>
    <x v="1"/>
    <x v="24"/>
    <x v="24"/>
    <x v="0"/>
    <x v="0"/>
  </r>
  <r>
    <x v="219"/>
    <x v="219"/>
    <x v="12"/>
    <x v="153"/>
    <x v="20"/>
    <x v="0"/>
    <x v="65"/>
    <x v="65"/>
    <x v="0"/>
    <x v="2"/>
  </r>
  <r>
    <x v="220"/>
    <x v="220"/>
    <x v="12"/>
    <x v="154"/>
    <x v="71"/>
    <x v="0"/>
    <x v="60"/>
    <x v="60"/>
    <x v="0"/>
    <x v="3"/>
  </r>
  <r>
    <x v="221"/>
    <x v="221"/>
    <x v="12"/>
    <x v="155"/>
    <x v="4"/>
    <x v="0"/>
    <x v="96"/>
    <x v="96"/>
    <x v="2"/>
    <x v="5"/>
  </r>
  <r>
    <x v="222"/>
    <x v="222"/>
    <x v="12"/>
    <x v="156"/>
    <x v="82"/>
    <x v="0"/>
    <x v="24"/>
    <x v="24"/>
    <x v="0"/>
    <x v="5"/>
  </r>
  <r>
    <x v="223"/>
    <x v="223"/>
    <x v="12"/>
    <x v="157"/>
    <x v="84"/>
    <x v="0"/>
    <x v="100"/>
    <x v="99"/>
    <x v="0"/>
    <x v="2"/>
  </r>
  <r>
    <x v="224"/>
    <x v="224"/>
    <x v="12"/>
    <x v="158"/>
    <x v="5"/>
    <x v="1"/>
    <x v="52"/>
    <x v="52"/>
    <x v="0"/>
    <x v="1"/>
  </r>
  <r>
    <x v="225"/>
    <x v="225"/>
    <x v="12"/>
    <x v="159"/>
    <x v="77"/>
    <x v="1"/>
    <x v="71"/>
    <x v="71"/>
    <x v="0"/>
    <x v="0"/>
  </r>
  <r>
    <x v="226"/>
    <x v="226"/>
    <x v="12"/>
    <x v="49"/>
    <x v="49"/>
    <x v="0"/>
    <x v="68"/>
    <x v="68"/>
    <x v="0"/>
    <x v="0"/>
  </r>
  <r>
    <x v="227"/>
    <x v="227"/>
    <x v="12"/>
    <x v="160"/>
    <x v="17"/>
    <x v="0"/>
    <x v="45"/>
    <x v="45"/>
    <x v="2"/>
    <x v="5"/>
  </r>
  <r>
    <x v="228"/>
    <x v="228"/>
    <x v="12"/>
    <x v="150"/>
    <x v="21"/>
    <x v="0"/>
    <x v="41"/>
    <x v="41"/>
    <x v="0"/>
    <x v="0"/>
  </r>
  <r>
    <x v="229"/>
    <x v="229"/>
    <x v="12"/>
    <x v="161"/>
    <x v="4"/>
    <x v="0"/>
    <x v="4"/>
    <x v="4"/>
    <x v="2"/>
    <x v="5"/>
  </r>
  <r>
    <x v="230"/>
    <x v="230"/>
    <x v="12"/>
    <x v="29"/>
    <x v="77"/>
    <x v="1"/>
    <x v="20"/>
    <x v="20"/>
    <x v="0"/>
    <x v="0"/>
  </r>
  <r>
    <x v="231"/>
    <x v="231"/>
    <x v="12"/>
    <x v="162"/>
    <x v="72"/>
    <x v="0"/>
    <x v="39"/>
    <x v="39"/>
    <x v="1"/>
    <x v="6"/>
  </r>
  <r>
    <x v="232"/>
    <x v="232"/>
    <x v="12"/>
    <x v="163"/>
    <x v="54"/>
    <x v="1"/>
    <x v="25"/>
    <x v="25"/>
    <x v="0"/>
    <x v="1"/>
  </r>
  <r>
    <x v="233"/>
    <x v="233"/>
    <x v="12"/>
    <x v="164"/>
    <x v="18"/>
    <x v="0"/>
    <x v="56"/>
    <x v="56"/>
    <x v="1"/>
    <x v="2"/>
  </r>
  <r>
    <x v="234"/>
    <x v="234"/>
    <x v="12"/>
    <x v="63"/>
    <x v="46"/>
    <x v="0"/>
    <x v="60"/>
    <x v="60"/>
    <x v="0"/>
    <x v="0"/>
  </r>
  <r>
    <x v="235"/>
    <x v="235"/>
    <x v="12"/>
    <x v="165"/>
    <x v="54"/>
    <x v="1"/>
    <x v="101"/>
    <x v="100"/>
    <x v="2"/>
    <x v="0"/>
  </r>
  <r>
    <x v="236"/>
    <x v="236"/>
    <x v="12"/>
    <x v="166"/>
    <x v="66"/>
    <x v="0"/>
    <x v="61"/>
    <x v="61"/>
    <x v="0"/>
    <x v="0"/>
  </r>
  <r>
    <x v="237"/>
    <x v="237"/>
    <x v="12"/>
    <x v="159"/>
    <x v="45"/>
    <x v="1"/>
    <x v="90"/>
    <x v="90"/>
    <x v="2"/>
    <x v="6"/>
  </r>
  <r>
    <x v="238"/>
    <x v="238"/>
    <x v="12"/>
    <x v="167"/>
    <x v="69"/>
    <x v="1"/>
    <x v="70"/>
    <x v="70"/>
    <x v="0"/>
    <x v="0"/>
  </r>
  <r>
    <x v="239"/>
    <x v="239"/>
    <x v="12"/>
    <x v="168"/>
    <x v="76"/>
    <x v="0"/>
    <x v="38"/>
    <x v="38"/>
    <x v="0"/>
    <x v="6"/>
  </r>
  <r>
    <x v="240"/>
    <x v="240"/>
    <x v="12"/>
    <x v="60"/>
    <x v="46"/>
    <x v="0"/>
    <x v="78"/>
    <x v="78"/>
    <x v="2"/>
    <x v="0"/>
  </r>
  <r>
    <x v="241"/>
    <x v="241"/>
    <x v="12"/>
    <x v="169"/>
    <x v="85"/>
    <x v="0"/>
    <x v="79"/>
    <x v="79"/>
    <x v="0"/>
    <x v="8"/>
  </r>
  <r>
    <x v="242"/>
    <x v="242"/>
    <x v="12"/>
    <x v="170"/>
    <x v="10"/>
    <x v="0"/>
    <x v="93"/>
    <x v="93"/>
    <x v="2"/>
    <x v="3"/>
  </r>
  <r>
    <x v="243"/>
    <x v="243"/>
    <x v="12"/>
    <x v="171"/>
    <x v="50"/>
    <x v="1"/>
    <x v="14"/>
    <x v="14"/>
    <x v="0"/>
    <x v="5"/>
  </r>
  <r>
    <x v="244"/>
    <x v="244"/>
    <x v="12"/>
    <x v="172"/>
    <x v="71"/>
    <x v="0"/>
    <x v="25"/>
    <x v="25"/>
    <x v="0"/>
    <x v="0"/>
  </r>
  <r>
    <x v="245"/>
    <x v="245"/>
    <x v="12"/>
    <x v="173"/>
    <x v="8"/>
    <x v="0"/>
    <x v="25"/>
    <x v="25"/>
    <x v="0"/>
    <x v="5"/>
  </r>
  <r>
    <x v="246"/>
    <x v="246"/>
    <x v="12"/>
    <x v="174"/>
    <x v="44"/>
    <x v="0"/>
    <x v="71"/>
    <x v="71"/>
    <x v="0"/>
    <x v="2"/>
  </r>
  <r>
    <x v="247"/>
    <x v="247"/>
    <x v="12"/>
    <x v="175"/>
    <x v="32"/>
    <x v="0"/>
    <x v="67"/>
    <x v="67"/>
    <x v="2"/>
    <x v="2"/>
  </r>
  <r>
    <x v="248"/>
    <x v="248"/>
    <x v="12"/>
    <x v="120"/>
    <x v="33"/>
    <x v="1"/>
    <x v="49"/>
    <x v="49"/>
    <x v="0"/>
    <x v="1"/>
  </r>
  <r>
    <x v="249"/>
    <x v="249"/>
    <x v="13"/>
    <x v="176"/>
    <x v="54"/>
    <x v="1"/>
    <x v="47"/>
    <x v="47"/>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E716E-694D-4D59-BE04-70A66535A58B}" name="AVG Rating Over Release 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8:L95" firstHeaderRow="1" firstDataRow="1" firstDataCol="1"/>
  <pivotFields count="10">
    <pivotField showAll="0"/>
    <pivotField showAll="0"/>
    <pivotField dataField="1" showAll="0"/>
    <pivotField showAll="0"/>
    <pivotField axis="axisRow"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Fields count="1">
    <field x="4"/>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Average of Rate" fld="2" subtotal="average" baseField="0" baseItem="0"/>
  </dataFields>
  <chartFormats count="1">
    <chartFormat chart="5" format="8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71D67-B37B-4EB0-A729-93E58703D22E}" name="Num of mov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dataField="1" showAll="0"/>
    <pivotField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Count of movi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B9296-B395-45CA-8D5F-246D29FAB84B}" name="AVG Movie Duration by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8:I23" firstHeaderRow="1" firstDataRow="1" firstDataCol="1"/>
  <pivotFields count="10">
    <pivotField showAll="0"/>
    <pivotField showAll="0"/>
    <pivotField axis="axisRow" showAll="0">
      <items count="15">
        <item x="13"/>
        <item x="12"/>
        <item x="11"/>
        <item x="10"/>
        <item x="9"/>
        <item x="8"/>
        <item x="7"/>
        <item x="6"/>
        <item x="5"/>
        <item x="4"/>
        <item x="3"/>
        <item x="2"/>
        <item x="1"/>
        <item x="0"/>
        <item t="default"/>
      </items>
    </pivotField>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dataField="1" showAll="0"/>
    <pivotField showAll="0">
      <items count="4">
        <item x="1"/>
        <item x="0"/>
        <item x="2"/>
        <item t="default"/>
      </items>
    </pivotField>
    <pivotField showAll="0">
      <items count="11">
        <item x="2"/>
        <item x="6"/>
        <item x="7"/>
        <item x="5"/>
        <item x="8"/>
        <item x="3"/>
        <item x="1"/>
        <item x="0"/>
        <item x="4"/>
        <item m="1" x="9"/>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Average of Movie_Duration(min)" fld="7" subtotal="average" baseField="0" baseItem="0"/>
  </dataFields>
  <chartFormats count="1">
    <chartFormat chart="3" format="1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9A7B3-DECD-488F-8DA1-3BB7C8C8B8CF}" name="AVG Mov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0">
    <pivotField showAll="0"/>
    <pivotField showAll="0"/>
    <pivotField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dataField="1"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Average of Movie_Duration(min)"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E59578-17DA-4823-8966-CC2218AE99C6}" name="No.of movies by centu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C11" firstHeaderRow="1" firstDataRow="1" firstDataCol="1"/>
  <pivotFields count="10">
    <pivotField dataField="1" showAll="0"/>
    <pivotField showAll="0"/>
    <pivotField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axis="axisRow"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Fields count="1">
    <field x="5"/>
  </rowFields>
  <rowItems count="3">
    <i>
      <x/>
    </i>
    <i>
      <x v="1"/>
    </i>
    <i t="grand">
      <x/>
    </i>
  </rowItems>
  <colItems count="1">
    <i/>
  </colItems>
  <dataFields count="1">
    <dataField name="Count of Film_ID" fld="0" subtotal="count" baseField="5"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814AC7-205B-4133-A77E-01FB8B01BBA6}" name="slic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B47" firstHeaderRow="1" firstDataRow="1" firstDataCol="1"/>
  <pivotFields count="10">
    <pivotField showAll="0"/>
    <pivotField showAll="0"/>
    <pivotField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pivotField showAll="0"/>
    <pivotField showAll="0"/>
    <pivotField axis="axisRow" showAll="0">
      <items count="4">
        <item x="1"/>
        <item x="0"/>
        <item x="2"/>
        <item t="default"/>
      </items>
    </pivotField>
    <pivotField showAll="0">
      <items count="11">
        <item x="2"/>
        <item x="6"/>
        <item x="7"/>
        <item x="5"/>
        <item x="8"/>
        <item x="3"/>
        <item x="1"/>
        <item x="0"/>
        <item x="4"/>
        <item m="1" x="9"/>
        <item t="default"/>
      </items>
    </pivotField>
  </pivotFields>
  <rowFields count="1">
    <field x="8"/>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2C9EE0-10A0-49C9-BD27-4A5E23AC2152}" name="No.of movies by Age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5:F35" firstHeaderRow="1" firstDataRow="1" firstDataCol="1"/>
  <pivotFields count="10">
    <pivotField dataField="1" showAll="0"/>
    <pivotField showAll="0"/>
    <pivotField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axis="axisRow" showAll="0">
      <items count="11">
        <item x="2"/>
        <item x="6"/>
        <item x="7"/>
        <item x="5"/>
        <item x="8"/>
        <item x="3"/>
        <item x="1"/>
        <item x="0"/>
        <item m="1" x="9"/>
        <item x="4"/>
        <item t="default"/>
      </items>
    </pivotField>
  </pivotFields>
  <rowFields count="1">
    <field x="9"/>
  </rowFields>
  <rowItems count="10">
    <i>
      <x/>
    </i>
    <i>
      <x v="1"/>
    </i>
    <i>
      <x v="2"/>
    </i>
    <i>
      <x v="3"/>
    </i>
    <i>
      <x v="4"/>
    </i>
    <i>
      <x v="5"/>
    </i>
    <i>
      <x v="6"/>
    </i>
    <i>
      <x v="7"/>
    </i>
    <i>
      <x v="9"/>
    </i>
    <i t="grand">
      <x/>
    </i>
  </rowItems>
  <colItems count="1">
    <i/>
  </colItems>
  <dataFields count="1">
    <dataField name="Count of Film_ID" fld="0"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E32427-0903-40EA-B990-A6E841A6296E}" name="AVG Number of vo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0">
    <pivotField showAll="0"/>
    <pivotField showAll="0"/>
    <pivotField showAll="0"/>
    <pivotField dataField="1"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Average of Vot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DBE73D-3A53-417C-9CC6-697824CF9BCE}" name="Oldest mov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0">
    <pivotField showAll="0"/>
    <pivotField showAll="0"/>
    <pivotField showAll="0"/>
    <pivotField showAll="0"/>
    <pivotField dataField="1"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Min of Realse_Date" fld="4"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B1E20F-5DB2-4CC6-B1A2-C206AD30A468}" name="Average Votes by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5:C40" firstHeaderRow="1" firstDataRow="1" firstDataCol="1"/>
  <pivotFields count="10">
    <pivotField showAll="0"/>
    <pivotField showAll="0"/>
    <pivotField axis="axisRow" showAll="0">
      <items count="15">
        <item x="13"/>
        <item x="12"/>
        <item x="11"/>
        <item x="10"/>
        <item x="9"/>
        <item x="8"/>
        <item x="7"/>
        <item x="6"/>
        <item x="5"/>
        <item x="4"/>
        <item x="3"/>
        <item x="2"/>
        <item x="1"/>
        <item x="0"/>
        <item t="default"/>
      </items>
    </pivotField>
    <pivotField dataField="1"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Average of Votes" fld="3"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3EBDE2-188C-4103-B309-777AFBA940D7}" name="Min of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pivotField showAll="0"/>
    <pivotField dataField="1"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Min of Rate" fld="2"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0F4B7C-AD40-43E3-A798-B5B062E79CFC}" name="Max of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showAll="0"/>
    <pivotField showAll="0"/>
    <pivotField dataField="1" showAll="0"/>
    <pivotField showAll="0"/>
    <pivotField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Max of Rate" fld="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452F31-A5E6-4F52-9BE1-EF23D2238829}" name="Latest movi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0">
    <pivotField showAll="0"/>
    <pivotField showAll="0"/>
    <pivotField showAll="0"/>
    <pivotField showAll="0"/>
    <pivotField dataField="1" showAll="0">
      <items count="87">
        <item x="73"/>
        <item x="80"/>
        <item x="79"/>
        <item x="83"/>
        <item x="59"/>
        <item x="85"/>
        <item x="38"/>
        <item x="35"/>
        <item x="76"/>
        <item x="44"/>
        <item x="63"/>
        <item x="32"/>
        <item x="56"/>
        <item x="18"/>
        <item x="68"/>
        <item x="84"/>
        <item x="43"/>
        <item x="52"/>
        <item x="82"/>
        <item x="20"/>
        <item x="4"/>
        <item x="64"/>
        <item x="57"/>
        <item x="29"/>
        <item x="61"/>
        <item x="24"/>
        <item x="47"/>
        <item x="51"/>
        <item x="72"/>
        <item x="8"/>
        <item x="37"/>
        <item x="67"/>
        <item x="1"/>
        <item x="66"/>
        <item x="3"/>
        <item x="15"/>
        <item x="71"/>
        <item x="23"/>
        <item x="81"/>
        <item x="34"/>
        <item x="12"/>
        <item x="41"/>
        <item x="74"/>
        <item x="53"/>
        <item x="49"/>
        <item x="26"/>
        <item x="46"/>
        <item x="62"/>
        <item x="30"/>
        <item x="65"/>
        <item x="13"/>
        <item x="19"/>
        <item x="55"/>
        <item x="6"/>
        <item x="0"/>
        <item x="17"/>
        <item x="78"/>
        <item x="22"/>
        <item x="21"/>
        <item x="10"/>
        <item x="27"/>
        <item x="7"/>
        <item x="9"/>
        <item x="5"/>
        <item x="54"/>
        <item x="70"/>
        <item x="31"/>
        <item x="58"/>
        <item x="2"/>
        <item x="45"/>
        <item x="11"/>
        <item x="33"/>
        <item x="36"/>
        <item x="69"/>
        <item x="14"/>
        <item x="77"/>
        <item x="50"/>
        <item x="48"/>
        <item x="42"/>
        <item x="28"/>
        <item x="60"/>
        <item x="25"/>
        <item x="75"/>
        <item x="16"/>
        <item x="40"/>
        <item x="39"/>
        <item t="default"/>
      </items>
    </pivotField>
    <pivotField showAll="0">
      <items count="3">
        <item x="0"/>
        <item x="1"/>
        <item t="default"/>
      </items>
    </pivotField>
    <pivotField showAll="0"/>
    <pivotField showAll="0"/>
    <pivotField showAll="0">
      <items count="4">
        <item x="1"/>
        <item x="0"/>
        <item x="2"/>
        <item t="default"/>
      </items>
    </pivotField>
    <pivotField showAll="0">
      <items count="11">
        <item x="2"/>
        <item x="6"/>
        <item x="7"/>
        <item x="5"/>
        <item x="8"/>
        <item x="3"/>
        <item x="1"/>
        <item x="0"/>
        <item x="4"/>
        <item m="1" x="9"/>
        <item t="default"/>
      </items>
    </pivotField>
  </pivotFields>
  <rowItems count="1">
    <i/>
  </rowItems>
  <colItems count="1">
    <i/>
  </colItems>
  <dataFields count="1">
    <dataField name="Max of Realse_Date" fld="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9CD1744-9A20-4A27-9AC2-514FEDB5A6FA}" autoFormatId="16" applyNumberFormats="0" applyBorderFormats="0" applyFontFormats="0" applyPatternFormats="0" applyAlignmentFormats="0" applyWidthHeightFormats="0">
  <queryTableRefresh nextId="12">
    <queryTableFields count="10">
      <queryTableField id="1" name="Film_ID" tableColumnId="1"/>
      <queryTableField id="2" name="movie_Name" tableColumnId="2"/>
      <queryTableField id="3" name="Rate" tableColumnId="3"/>
      <queryTableField id="4" name="Votes" tableColumnId="4"/>
      <queryTableField id="5" name="Realse_Date" tableColumnId="5"/>
      <queryTableField id="6" name="Century" tableColumnId="6"/>
      <queryTableField id="7" name="Movie_Duration" tableColumnId="7"/>
      <queryTableField id="8" name="Movie_Duration(min)" tableColumnId="8"/>
      <queryTableField id="9" name="Duration_Level" tableColumnId="9"/>
      <queryTableField id="10" name="Age_Rating"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ury" xr10:uid="{C0133AB9-8215-4987-854A-CD73F1543537}" sourceName="Century">
  <pivotTables>
    <pivotTable tabId="5" name="No.of movies by century"/>
    <pivotTable tabId="5" name="AVG Movie"/>
    <pivotTable tabId="5" name="AVG Number of votes"/>
    <pivotTable tabId="5" name="Latest movie"/>
    <pivotTable tabId="5" name="Max of Rate"/>
    <pivotTable tabId="5" name="Min of Rate"/>
    <pivotTable tabId="5" name="Num of movies"/>
    <pivotTable tabId="5" name="Oldest movie"/>
    <pivotTable tabId="5" name="AVG Movie Duration by Rate"/>
    <pivotTable tabId="5" name="AVG Rating Over Release Years"/>
    <pivotTable tabId="5" name="Average Votes by Rate"/>
    <pivotTable tabId="5" name="No.of movies by Age Rating"/>
  </pivotTables>
  <data>
    <tabular pivotCacheId="528598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Level" xr10:uid="{5D621DC7-A59F-4F10-B34F-8A333F278020}" sourceName="Duration_Level">
  <pivotTables>
    <pivotTable tabId="5" name="slicer"/>
    <pivotTable tabId="5" name="Average Votes by Rate"/>
    <pivotTable tabId="5" name="AVG Movie"/>
    <pivotTable tabId="5" name="AVG Movie Duration by Rate"/>
    <pivotTable tabId="5" name="AVG Number of votes"/>
    <pivotTable tabId="5" name="AVG Rating Over Release Years"/>
    <pivotTable tabId="5" name="Latest movie"/>
    <pivotTable tabId="5" name="Max of Rate"/>
    <pivotTable tabId="5" name="Min of Rate"/>
    <pivotTable tabId="5" name="No.of movies by Age Rating"/>
    <pivotTable tabId="5" name="No.of movies by century"/>
    <pivotTable tabId="5" name="Num of movies"/>
    <pivotTable tabId="5" name="Oldest movie"/>
  </pivotTables>
  <data>
    <tabular pivotCacheId="5285985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lse_Date" xr10:uid="{A3580470-6639-4C41-A667-73CB140D7BCC}" sourceName="Realse_Date">
  <pivotTables>
    <pivotTable tabId="5" name="slicer"/>
    <pivotTable tabId="5" name="Average Votes by Rate"/>
    <pivotTable tabId="5" name="AVG Movie"/>
    <pivotTable tabId="5" name="AVG Movie Duration by Rate"/>
    <pivotTable tabId="5" name="AVG Number of votes"/>
    <pivotTable tabId="5" name="AVG Rating Over Release Years"/>
    <pivotTable tabId="5" name="Latest movie"/>
    <pivotTable tabId="5" name="Max of Rate"/>
    <pivotTable tabId="5" name="Min of Rate"/>
    <pivotTable tabId="5" name="No.of movies by Age Rating"/>
    <pivotTable tabId="5" name="No.of movies by century"/>
    <pivotTable tabId="5" name="Num of movies"/>
    <pivotTable tabId="5" name="Oldest movie"/>
  </pivotTables>
  <data>
    <tabular pivotCacheId="52859852">
      <items count="86">
        <i x="73" s="1"/>
        <i x="80" s="1"/>
        <i x="79" s="1"/>
        <i x="83" s="1"/>
        <i x="59" s="1"/>
        <i x="85" s="1"/>
        <i x="38" s="1"/>
        <i x="35" s="1"/>
        <i x="76" s="1"/>
        <i x="44" s="1"/>
        <i x="63" s="1"/>
        <i x="32" s="1"/>
        <i x="56" s="1"/>
        <i x="18" s="1"/>
        <i x="68" s="1"/>
        <i x="84" s="1"/>
        <i x="43" s="1"/>
        <i x="52" s="1"/>
        <i x="82" s="1"/>
        <i x="20" s="1"/>
        <i x="4" s="1"/>
        <i x="64" s="1"/>
        <i x="57" s="1"/>
        <i x="29" s="1"/>
        <i x="61" s="1"/>
        <i x="24" s="1"/>
        <i x="47" s="1"/>
        <i x="51" s="1"/>
        <i x="72" s="1"/>
        <i x="8" s="1"/>
        <i x="37" s="1"/>
        <i x="67" s="1"/>
        <i x="1" s="1"/>
        <i x="66" s="1"/>
        <i x="3" s="1"/>
        <i x="15" s="1"/>
        <i x="71" s="1"/>
        <i x="23" s="1"/>
        <i x="81" s="1"/>
        <i x="34" s="1"/>
        <i x="12" s="1"/>
        <i x="41" s="1"/>
        <i x="74" s="1"/>
        <i x="53" s="1"/>
        <i x="49" s="1"/>
        <i x="26" s="1"/>
        <i x="46" s="1"/>
        <i x="62" s="1"/>
        <i x="30" s="1"/>
        <i x="65" s="1"/>
        <i x="13" s="1"/>
        <i x="19" s="1"/>
        <i x="55" s="1"/>
        <i x="6" s="1"/>
        <i x="0" s="1"/>
        <i x="17" s="1"/>
        <i x="78" s="1"/>
        <i x="22" s="1"/>
        <i x="21" s="1"/>
        <i x="10" s="1"/>
        <i x="27" s="1"/>
        <i x="7" s="1"/>
        <i x="9" s="1"/>
        <i x="5" s="1"/>
        <i x="54" s="1"/>
        <i x="70" s="1"/>
        <i x="31" s="1"/>
        <i x="58" s="1"/>
        <i x="2" s="1"/>
        <i x="45" s="1"/>
        <i x="11" s="1"/>
        <i x="33" s="1"/>
        <i x="36" s="1"/>
        <i x="69" s="1"/>
        <i x="14" s="1"/>
        <i x="77" s="1"/>
        <i x="50" s="1"/>
        <i x="48" s="1"/>
        <i x="42" s="1"/>
        <i x="28" s="1"/>
        <i x="60" s="1"/>
        <i x="25" s="1"/>
        <i x="75" s="1"/>
        <i x="16" s="1"/>
        <i x="40" s="1"/>
        <i x="3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 xr10:uid="{DEFCAE3A-8BAA-4DEC-A73D-0E123D15508A}" sourceName="Age_Rating">
  <pivotTables>
    <pivotTable tabId="5" name="slicer"/>
    <pivotTable tabId="5" name="Average Votes by Rate"/>
    <pivotTable tabId="5" name="AVG Movie"/>
    <pivotTable tabId="5" name="AVG Movie Duration by Rate"/>
    <pivotTable tabId="5" name="AVG Number of votes"/>
    <pivotTable tabId="5" name="AVG Rating Over Release Years"/>
    <pivotTable tabId="5" name="Latest movie"/>
    <pivotTable tabId="5" name="Max of Rate"/>
    <pivotTable tabId="5" name="Min of Rate"/>
    <pivotTable tabId="5" name="No.of movies by Age Rating"/>
    <pivotTable tabId="5" name="No.of movies by century"/>
    <pivotTable tabId="5" name="Num of movies"/>
    <pivotTable tabId="5" name="Oldest movie"/>
  </pivotTables>
  <data>
    <tabular pivotCacheId="52859852">
      <items count="10">
        <i x="2" s="1"/>
        <i x="6" s="1"/>
        <i x="7" s="1"/>
        <i x="5" s="1"/>
        <i x="8" s="1"/>
        <i x="3" s="1"/>
        <i x="1" s="1"/>
        <i x="0" s="1"/>
        <i x="4"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ury" xr10:uid="{64482153-F159-41AF-A837-AB24320B4570}" cache="Slicer_Century" caption="Centu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ury 1" xr10:uid="{2B8483A8-F49E-4D9B-9EA6-6EFFBC53E2C0}" cache="Slicer_Century" caption="Century" style="SlicerStyleDarkبتاعي 2 2" rowHeight="241300"/>
  <slicer name="Duration_Level" xr10:uid="{DA2459BA-12B7-483D-B934-1AED251330B9}" cache="Slicer_Duration_Level" caption="Duration_Level" style="SlicerStyleDarkبتاعي 2 2" rowHeight="241300"/>
  <slicer name="Realse_Date" xr10:uid="{40C48C08-9791-4E6F-92BC-5AD097780DB0}" cache="Slicer_Realse_Date" caption="Realse_Date" startItem="3" style="SlicerStyleDarkبتاعي 2 2" rowHeight="241300"/>
  <slicer name="Age_Rating" xr10:uid="{AA8BA968-DD36-45E2-A599-F0DEC4266084}" cache="Slicer_Age_Rating" caption="Age_Rating" style="SlicerStyleDarkبتاعي 2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977EB7-394E-4D60-99A7-C1EEA2BA2558}" name="movies" displayName="movies" ref="A1:J251" tableType="queryTable" totalsRowShown="0" headerRowDxfId="11" dataDxfId="10">
  <autoFilter ref="A1:J251" xr:uid="{84977EB7-394E-4D60-99A7-C1EEA2BA2558}"/>
  <sortState xmlns:xlrd2="http://schemas.microsoft.com/office/spreadsheetml/2017/richdata2" ref="A2:J251">
    <sortCondition descending="1" ref="C1:C251"/>
  </sortState>
  <tableColumns count="10">
    <tableColumn id="1" xr3:uid="{6660AD34-9931-4F4A-B366-A9B1DDC8FE39}" uniqueName="1" name="Film_ID" queryTableFieldId="1" dataDxfId="9"/>
    <tableColumn id="2" xr3:uid="{D1C8C1EA-A8AB-4160-BD10-0A5E09E0C062}" uniqueName="2" name="movie_Name" queryTableFieldId="2" dataDxfId="8"/>
    <tableColumn id="3" xr3:uid="{7D5373A4-64DC-49EF-A817-E2D41EBA9FCD}" uniqueName="3" name="Rate" queryTableFieldId="3" dataDxfId="7"/>
    <tableColumn id="4" xr3:uid="{51E86A08-8473-4CB4-9ECC-C8879792A487}" uniqueName="4" name="Votes" queryTableFieldId="4" dataDxfId="6"/>
    <tableColumn id="5" xr3:uid="{132736E6-8F9C-421F-A151-93B2C3E70DDD}" uniqueName="5" name="Realse_Date" queryTableFieldId="5" dataDxfId="5"/>
    <tableColumn id="6" xr3:uid="{79A9A75E-1818-458D-9BE8-4C3DA52C7B6C}" uniqueName="6" name="Century" queryTableFieldId="6" dataDxfId="4"/>
    <tableColumn id="7" xr3:uid="{B511D469-EF77-4ACF-B547-B423341ABCC8}" uniqueName="7" name="Movie_Duration" queryTableFieldId="7" dataDxfId="3"/>
    <tableColumn id="8" xr3:uid="{96A721C3-3B64-4477-B0A8-C67E5E02DCCC}" uniqueName="8" name="Movie_Duration(min)" queryTableFieldId="8" dataDxfId="2"/>
    <tableColumn id="9" xr3:uid="{83536033-12B0-4859-9C54-E7673E5E0CFD}" uniqueName="9" name="Duration_Level" queryTableFieldId="9" dataDxfId="1"/>
    <tableColumn id="10" xr3:uid="{95CB0455-B9CF-40A6-98D8-791BA5F29F7F}" uniqueName="10" name="Age_Rating"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D152-6775-4B13-9C53-F9F64CFF688A}">
  <dimension ref="A1:P251"/>
  <sheetViews>
    <sheetView topLeftCell="D1" workbookViewId="0">
      <selection activeCell="L7" sqref="L7"/>
    </sheetView>
  </sheetViews>
  <sheetFormatPr defaultRowHeight="15" x14ac:dyDescent="0.25"/>
  <cols>
    <col min="1" max="1" width="12.28515625" style="1" bestFit="1" customWidth="1"/>
    <col min="2" max="2" width="64.85546875" style="1" bestFit="1" customWidth="1"/>
    <col min="3" max="3" width="9.5703125" style="1" bestFit="1" customWidth="1"/>
    <col min="4" max="4" width="10.7109375" style="1" bestFit="1" customWidth="1"/>
    <col min="5" max="5" width="16.5703125" style="1" bestFit="1" customWidth="1"/>
    <col min="6" max="6" width="12.5703125" style="1" bestFit="1" customWidth="1"/>
    <col min="7" max="7" width="20.140625" style="1" bestFit="1" customWidth="1"/>
    <col min="8" max="8" width="25.140625" style="1" bestFit="1" customWidth="1"/>
    <col min="9" max="9" width="19.140625" style="1" bestFit="1" customWidth="1"/>
    <col min="10" max="11" width="15.5703125" style="1" bestFit="1" customWidth="1"/>
    <col min="12" max="15" width="9.140625" style="1"/>
    <col min="16" max="16" width="9" style="1" hidden="1" customWidth="1"/>
    <col min="17" max="16384" width="9.140625" style="1"/>
  </cols>
  <sheetData>
    <row r="1" spans="1:16" x14ac:dyDescent="0.25">
      <c r="A1" s="1" t="s">
        <v>361</v>
      </c>
      <c r="B1" s="1" t="s">
        <v>368</v>
      </c>
      <c r="C1" s="1" t="s">
        <v>2</v>
      </c>
      <c r="D1" s="1" t="s">
        <v>362</v>
      </c>
      <c r="E1" s="1" t="s">
        <v>363</v>
      </c>
      <c r="F1" s="1" t="s">
        <v>366</v>
      </c>
      <c r="G1" s="1" t="s">
        <v>364</v>
      </c>
      <c r="H1" s="1" t="s">
        <v>367</v>
      </c>
      <c r="I1" s="1" t="s">
        <v>369</v>
      </c>
      <c r="J1" s="1" t="s">
        <v>365</v>
      </c>
      <c r="P1" s="1">
        <v>31000000</v>
      </c>
    </row>
    <row r="2" spans="1:16" x14ac:dyDescent="0.25">
      <c r="A2" s="1">
        <v>1</v>
      </c>
      <c r="B2" s="1" t="s">
        <v>0</v>
      </c>
      <c r="C2" s="1">
        <v>9.3000000000000007</v>
      </c>
      <c r="D2" s="1">
        <f t="shared" ref="D2:D65" si="0">P1/10</f>
        <v>3100000</v>
      </c>
      <c r="E2" s="1">
        <v>1994</v>
      </c>
      <c r="F2" s="1">
        <v>20</v>
      </c>
      <c r="G2" s="1" t="s">
        <v>1</v>
      </c>
      <c r="H2" s="1">
        <v>142</v>
      </c>
      <c r="I2" s="1" t="s">
        <v>374</v>
      </c>
      <c r="J2" s="1" t="s">
        <v>3</v>
      </c>
      <c r="P2" s="1">
        <v>22000000</v>
      </c>
    </row>
    <row r="3" spans="1:16" x14ac:dyDescent="0.25">
      <c r="A3" s="1">
        <v>2</v>
      </c>
      <c r="B3" s="1" t="s">
        <v>4</v>
      </c>
      <c r="C3" s="1">
        <v>9.1999999999999993</v>
      </c>
      <c r="D3" s="1">
        <f t="shared" si="0"/>
        <v>2200000</v>
      </c>
      <c r="E3" s="1">
        <v>1972</v>
      </c>
      <c r="F3" s="1">
        <v>20</v>
      </c>
      <c r="G3" s="1" t="s">
        <v>5</v>
      </c>
      <c r="H3" s="1">
        <v>175</v>
      </c>
      <c r="I3" s="1" t="s">
        <v>375</v>
      </c>
      <c r="J3" s="1" t="s">
        <v>3</v>
      </c>
      <c r="P3" s="1">
        <v>31000000</v>
      </c>
    </row>
    <row r="4" spans="1:16" x14ac:dyDescent="0.25">
      <c r="A4" s="1">
        <v>3</v>
      </c>
      <c r="B4" s="1" t="s">
        <v>6</v>
      </c>
      <c r="C4" s="1">
        <v>9.1</v>
      </c>
      <c r="D4" s="1">
        <f t="shared" si="0"/>
        <v>3100000</v>
      </c>
      <c r="E4" s="1">
        <v>2008</v>
      </c>
      <c r="F4" s="1">
        <v>21</v>
      </c>
      <c r="G4" s="1" t="s">
        <v>7</v>
      </c>
      <c r="H4" s="1">
        <v>152</v>
      </c>
      <c r="I4" s="1" t="s">
        <v>375</v>
      </c>
      <c r="J4" s="1" t="s">
        <v>8</v>
      </c>
      <c r="P4" s="1">
        <v>15000000</v>
      </c>
    </row>
    <row r="5" spans="1:16" x14ac:dyDescent="0.25">
      <c r="A5" s="1">
        <v>4</v>
      </c>
      <c r="B5" s="1" t="s">
        <v>9</v>
      </c>
      <c r="C5" s="1">
        <v>9</v>
      </c>
      <c r="D5" s="1">
        <f t="shared" si="0"/>
        <v>1500000</v>
      </c>
      <c r="E5" s="1">
        <v>1974</v>
      </c>
      <c r="F5" s="1">
        <v>20</v>
      </c>
      <c r="G5" s="1" t="s">
        <v>10</v>
      </c>
      <c r="H5" s="1">
        <v>202</v>
      </c>
      <c r="I5" s="1" t="s">
        <v>375</v>
      </c>
      <c r="J5" s="1" t="s">
        <v>3</v>
      </c>
      <c r="P5" s="1">
        <v>953000</v>
      </c>
    </row>
    <row r="6" spans="1:16" x14ac:dyDescent="0.25">
      <c r="A6" s="1">
        <v>5</v>
      </c>
      <c r="B6" s="1" t="s">
        <v>11</v>
      </c>
      <c r="C6" s="1">
        <v>9</v>
      </c>
      <c r="D6" s="1">
        <f t="shared" si="0"/>
        <v>95300</v>
      </c>
      <c r="E6" s="1">
        <v>1957</v>
      </c>
      <c r="F6" s="1">
        <v>20</v>
      </c>
      <c r="G6" s="1" t="s">
        <v>12</v>
      </c>
      <c r="H6" s="1">
        <v>96</v>
      </c>
      <c r="I6" s="1" t="s">
        <v>376</v>
      </c>
      <c r="J6" s="1" t="s">
        <v>13</v>
      </c>
      <c r="P6" s="1">
        <v>21000000</v>
      </c>
    </row>
    <row r="7" spans="1:16" x14ac:dyDescent="0.25">
      <c r="A7" s="1">
        <v>6</v>
      </c>
      <c r="B7" s="1" t="s">
        <v>14</v>
      </c>
      <c r="C7" s="1">
        <v>9</v>
      </c>
      <c r="D7" s="1">
        <f t="shared" si="0"/>
        <v>2100000</v>
      </c>
      <c r="E7" s="1">
        <v>2003</v>
      </c>
      <c r="F7" s="1">
        <v>21</v>
      </c>
      <c r="G7" s="1" t="s">
        <v>15</v>
      </c>
      <c r="H7" s="1">
        <v>201</v>
      </c>
      <c r="I7" s="1" t="s">
        <v>375</v>
      </c>
      <c r="J7" s="1" t="s">
        <v>8</v>
      </c>
      <c r="P7" s="1">
        <v>16000000</v>
      </c>
    </row>
    <row r="8" spans="1:16" x14ac:dyDescent="0.25">
      <c r="A8" s="1">
        <v>7</v>
      </c>
      <c r="B8" s="1" t="s">
        <v>16</v>
      </c>
      <c r="C8" s="1">
        <v>9</v>
      </c>
      <c r="D8" s="1">
        <f t="shared" si="0"/>
        <v>1600000</v>
      </c>
      <c r="E8" s="1">
        <v>1993</v>
      </c>
      <c r="F8" s="1">
        <v>20</v>
      </c>
      <c r="G8" s="1" t="s">
        <v>17</v>
      </c>
      <c r="H8" s="1">
        <v>195</v>
      </c>
      <c r="I8" s="1" t="s">
        <v>375</v>
      </c>
      <c r="J8" s="1" t="s">
        <v>3</v>
      </c>
      <c r="P8" s="1">
        <v>21000000</v>
      </c>
    </row>
    <row r="9" spans="1:16" x14ac:dyDescent="0.25">
      <c r="A9" s="1">
        <v>8</v>
      </c>
      <c r="B9" s="1" t="s">
        <v>18</v>
      </c>
      <c r="C9" s="1">
        <v>8.9</v>
      </c>
      <c r="D9" s="1">
        <f t="shared" si="0"/>
        <v>2100000</v>
      </c>
      <c r="E9" s="1">
        <v>2001</v>
      </c>
      <c r="F9" s="1">
        <v>21</v>
      </c>
      <c r="G9" s="1" t="s">
        <v>19</v>
      </c>
      <c r="H9" s="1">
        <v>178</v>
      </c>
      <c r="I9" s="1" t="s">
        <v>375</v>
      </c>
      <c r="J9" s="1" t="s">
        <v>8</v>
      </c>
      <c r="P9" s="1">
        <v>24000000</v>
      </c>
    </row>
    <row r="10" spans="1:16" x14ac:dyDescent="0.25">
      <c r="A10" s="1">
        <v>9</v>
      </c>
      <c r="B10" s="1" t="s">
        <v>20</v>
      </c>
      <c r="C10" s="1">
        <v>8.8000000000000007</v>
      </c>
      <c r="D10" s="1">
        <f t="shared" si="0"/>
        <v>2400000</v>
      </c>
      <c r="E10" s="1">
        <v>1994</v>
      </c>
      <c r="F10" s="1">
        <v>20</v>
      </c>
      <c r="G10" s="1" t="s">
        <v>21</v>
      </c>
      <c r="H10" s="1">
        <v>154</v>
      </c>
      <c r="I10" s="1" t="s">
        <v>375</v>
      </c>
      <c r="J10" s="1" t="s">
        <v>3</v>
      </c>
      <c r="P10" s="1">
        <v>871000</v>
      </c>
    </row>
    <row r="11" spans="1:16" x14ac:dyDescent="0.25">
      <c r="A11" s="1">
        <v>10</v>
      </c>
      <c r="B11" s="1" t="s">
        <v>22</v>
      </c>
      <c r="C11" s="1">
        <v>8.8000000000000007</v>
      </c>
      <c r="D11" s="1">
        <f t="shared" si="0"/>
        <v>87100</v>
      </c>
      <c r="E11" s="1">
        <v>1966</v>
      </c>
      <c r="F11" s="1">
        <v>20</v>
      </c>
      <c r="G11" s="1" t="s">
        <v>19</v>
      </c>
      <c r="H11" s="1">
        <v>178</v>
      </c>
      <c r="I11" s="1" t="s">
        <v>375</v>
      </c>
      <c r="J11" s="1" t="s">
        <v>3</v>
      </c>
      <c r="P11" s="1">
        <v>19000000</v>
      </c>
    </row>
    <row r="12" spans="1:16" x14ac:dyDescent="0.25">
      <c r="A12" s="1">
        <v>11</v>
      </c>
      <c r="B12" s="1" t="s">
        <v>23</v>
      </c>
      <c r="C12" s="1">
        <v>8.8000000000000007</v>
      </c>
      <c r="D12" s="1">
        <f t="shared" si="0"/>
        <v>1900000</v>
      </c>
      <c r="E12" s="1">
        <v>2002</v>
      </c>
      <c r="F12" s="1">
        <v>21</v>
      </c>
      <c r="G12" s="1" t="s">
        <v>24</v>
      </c>
      <c r="H12" s="1">
        <v>179</v>
      </c>
      <c r="I12" s="1" t="s">
        <v>375</v>
      </c>
      <c r="J12" s="1" t="s">
        <v>8</v>
      </c>
      <c r="P12" s="1">
        <v>24000000</v>
      </c>
    </row>
    <row r="13" spans="1:16" x14ac:dyDescent="0.25">
      <c r="A13" s="1">
        <v>12</v>
      </c>
      <c r="B13" s="1" t="s">
        <v>25</v>
      </c>
      <c r="C13" s="1">
        <v>8.8000000000000007</v>
      </c>
      <c r="D13" s="1">
        <f t="shared" si="0"/>
        <v>2400000</v>
      </c>
      <c r="E13" s="1">
        <v>1994</v>
      </c>
      <c r="F13" s="1">
        <v>20</v>
      </c>
      <c r="G13" s="1" t="s">
        <v>1</v>
      </c>
      <c r="H13" s="1">
        <v>142</v>
      </c>
      <c r="I13" s="1" t="s">
        <v>374</v>
      </c>
      <c r="J13" s="1" t="s">
        <v>8</v>
      </c>
      <c r="P13" s="1">
        <v>25000000</v>
      </c>
    </row>
    <row r="14" spans="1:16" x14ac:dyDescent="0.25">
      <c r="A14" s="1">
        <v>13</v>
      </c>
      <c r="B14" s="1" t="s">
        <v>26</v>
      </c>
      <c r="C14" s="1">
        <v>8.8000000000000007</v>
      </c>
      <c r="D14" s="1">
        <f t="shared" si="0"/>
        <v>2500000</v>
      </c>
      <c r="E14" s="1">
        <v>1999</v>
      </c>
      <c r="F14" s="1">
        <v>20</v>
      </c>
      <c r="G14" s="1" t="s">
        <v>27</v>
      </c>
      <c r="H14" s="1">
        <v>139</v>
      </c>
      <c r="I14" s="1" t="s">
        <v>374</v>
      </c>
      <c r="J14" s="1" t="s">
        <v>3</v>
      </c>
      <c r="P14" s="1">
        <v>27000000</v>
      </c>
    </row>
    <row r="15" spans="1:16" x14ac:dyDescent="0.25">
      <c r="A15" s="1">
        <v>14</v>
      </c>
      <c r="B15" s="1" t="s">
        <v>28</v>
      </c>
      <c r="C15" s="1">
        <v>8.8000000000000007</v>
      </c>
      <c r="D15" s="1">
        <f t="shared" si="0"/>
        <v>2700000</v>
      </c>
      <c r="E15" s="1">
        <v>2010</v>
      </c>
      <c r="F15" s="1">
        <v>21</v>
      </c>
      <c r="G15" s="1" t="s">
        <v>29</v>
      </c>
      <c r="H15" s="1">
        <v>148</v>
      </c>
      <c r="I15" s="1" t="s">
        <v>374</v>
      </c>
      <c r="J15" s="1" t="s">
        <v>8</v>
      </c>
      <c r="P15" s="1">
        <v>15000000</v>
      </c>
    </row>
    <row r="16" spans="1:16" x14ac:dyDescent="0.25">
      <c r="A16" s="1">
        <v>15</v>
      </c>
      <c r="B16" s="1" t="s">
        <v>30</v>
      </c>
      <c r="C16" s="1">
        <v>8.6999999999999993</v>
      </c>
      <c r="D16" s="1">
        <f t="shared" si="0"/>
        <v>1500000</v>
      </c>
      <c r="E16" s="1">
        <v>1980</v>
      </c>
      <c r="F16" s="1">
        <v>20</v>
      </c>
      <c r="G16" s="1" t="s">
        <v>31</v>
      </c>
      <c r="H16" s="1">
        <v>124</v>
      </c>
      <c r="I16" s="1" t="s">
        <v>374</v>
      </c>
      <c r="J16" s="1" t="s">
        <v>32</v>
      </c>
      <c r="P16" s="1">
        <v>22000000</v>
      </c>
    </row>
    <row r="17" spans="1:16" x14ac:dyDescent="0.25">
      <c r="A17" s="1">
        <v>16</v>
      </c>
      <c r="B17" s="1" t="s">
        <v>33</v>
      </c>
      <c r="C17" s="1">
        <v>8.6999999999999993</v>
      </c>
      <c r="D17" s="1">
        <f t="shared" si="0"/>
        <v>2200000</v>
      </c>
      <c r="E17" s="1">
        <v>1999</v>
      </c>
      <c r="F17" s="1">
        <v>20</v>
      </c>
      <c r="G17" s="1" t="s">
        <v>34</v>
      </c>
      <c r="H17" s="1">
        <v>136</v>
      </c>
      <c r="I17" s="1" t="s">
        <v>374</v>
      </c>
      <c r="J17" s="1" t="s">
        <v>3</v>
      </c>
      <c r="P17" s="1">
        <v>14000000</v>
      </c>
    </row>
    <row r="18" spans="1:16" x14ac:dyDescent="0.25">
      <c r="A18" s="1">
        <v>17</v>
      </c>
      <c r="B18" s="1" t="s">
        <v>35</v>
      </c>
      <c r="C18" s="1">
        <v>8.6999999999999993</v>
      </c>
      <c r="D18" s="1">
        <f t="shared" si="0"/>
        <v>1400000</v>
      </c>
      <c r="E18" s="1">
        <v>1990</v>
      </c>
      <c r="F18" s="1">
        <v>20</v>
      </c>
      <c r="G18" s="1" t="s">
        <v>36</v>
      </c>
      <c r="H18" s="1">
        <v>145</v>
      </c>
      <c r="I18" s="1" t="s">
        <v>374</v>
      </c>
      <c r="J18" s="1" t="s">
        <v>3</v>
      </c>
      <c r="P18" s="1">
        <v>24000000</v>
      </c>
    </row>
    <row r="19" spans="1:16" x14ac:dyDescent="0.25">
      <c r="A19" s="1">
        <v>18</v>
      </c>
      <c r="B19" s="1" t="s">
        <v>37</v>
      </c>
      <c r="C19" s="1">
        <v>8.6999999999999993</v>
      </c>
      <c r="D19" s="1">
        <f t="shared" si="0"/>
        <v>2400000</v>
      </c>
      <c r="E19" s="1">
        <v>2014</v>
      </c>
      <c r="F19" s="1">
        <v>21</v>
      </c>
      <c r="G19" s="1" t="s">
        <v>38</v>
      </c>
      <c r="H19" s="1">
        <v>169</v>
      </c>
      <c r="I19" s="1" t="s">
        <v>375</v>
      </c>
      <c r="J19" s="1" t="s">
        <v>8</v>
      </c>
      <c r="P19" s="1">
        <v>11000000</v>
      </c>
    </row>
    <row r="20" spans="1:16" x14ac:dyDescent="0.25">
      <c r="A20" s="1">
        <v>19</v>
      </c>
      <c r="B20" s="1" t="s">
        <v>39</v>
      </c>
      <c r="C20" s="1">
        <v>8.6999999999999993</v>
      </c>
      <c r="D20" s="1">
        <f t="shared" si="0"/>
        <v>1100000</v>
      </c>
      <c r="E20" s="1">
        <v>1975</v>
      </c>
      <c r="F20" s="1">
        <v>20</v>
      </c>
      <c r="G20" s="1" t="s">
        <v>40</v>
      </c>
      <c r="H20" s="1">
        <v>133</v>
      </c>
      <c r="I20" s="1" t="s">
        <v>374</v>
      </c>
      <c r="J20" s="1" t="s">
        <v>3</v>
      </c>
      <c r="P20" s="1">
        <v>2000000</v>
      </c>
    </row>
    <row r="21" spans="1:16" x14ac:dyDescent="0.25">
      <c r="A21" s="1">
        <v>70</v>
      </c>
      <c r="B21" s="1" t="s">
        <v>126</v>
      </c>
      <c r="C21" s="1">
        <v>8.6999999999999993</v>
      </c>
      <c r="D21" s="1">
        <f t="shared" si="0"/>
        <v>200000</v>
      </c>
      <c r="E21" s="1">
        <v>2023</v>
      </c>
      <c r="F21" s="1">
        <v>21</v>
      </c>
      <c r="G21" s="1" t="s">
        <v>104</v>
      </c>
      <c r="H21" s="1">
        <v>147</v>
      </c>
      <c r="I21" s="1" t="s">
        <v>374</v>
      </c>
      <c r="J21" s="1" t="s">
        <v>385</v>
      </c>
      <c r="P21" s="1">
        <v>536000</v>
      </c>
    </row>
    <row r="22" spans="1:16" x14ac:dyDescent="0.25">
      <c r="A22" s="1">
        <v>20</v>
      </c>
      <c r="B22" s="1" t="s">
        <v>41</v>
      </c>
      <c r="C22" s="1">
        <v>8.6</v>
      </c>
      <c r="D22" s="1">
        <f t="shared" si="0"/>
        <v>53600</v>
      </c>
      <c r="E22" s="1">
        <v>1995</v>
      </c>
      <c r="F22" s="1">
        <v>20</v>
      </c>
      <c r="G22" s="1" t="s">
        <v>42</v>
      </c>
      <c r="H22" s="1">
        <v>127</v>
      </c>
      <c r="I22" s="1" t="s">
        <v>374</v>
      </c>
      <c r="J22" s="1" t="s">
        <v>3</v>
      </c>
      <c r="P22" s="1">
        <v>17000000</v>
      </c>
    </row>
    <row r="23" spans="1:16" x14ac:dyDescent="0.25">
      <c r="A23" s="1">
        <v>21</v>
      </c>
      <c r="B23" s="1" t="s">
        <v>43</v>
      </c>
      <c r="C23" s="1">
        <v>8.6</v>
      </c>
      <c r="D23" s="1">
        <f t="shared" si="0"/>
        <v>1700000</v>
      </c>
      <c r="E23" s="1">
        <v>1946</v>
      </c>
      <c r="F23" s="1">
        <v>20</v>
      </c>
      <c r="G23" s="1" t="s">
        <v>44</v>
      </c>
      <c r="H23" s="1">
        <v>130</v>
      </c>
      <c r="I23" s="1" t="s">
        <v>374</v>
      </c>
      <c r="J23" s="1" t="s">
        <v>32</v>
      </c>
      <c r="P23" s="1">
        <v>392000</v>
      </c>
    </row>
    <row r="24" spans="1:16" x14ac:dyDescent="0.25">
      <c r="A24" s="1">
        <v>22</v>
      </c>
      <c r="B24" s="1" t="s">
        <v>45</v>
      </c>
      <c r="C24" s="1">
        <v>8.6</v>
      </c>
      <c r="D24" s="1">
        <f t="shared" si="0"/>
        <v>39200</v>
      </c>
      <c r="E24" s="1">
        <v>1991</v>
      </c>
      <c r="F24" s="1">
        <v>20</v>
      </c>
      <c r="G24" s="1" t="s">
        <v>46</v>
      </c>
      <c r="H24" s="1">
        <v>118</v>
      </c>
      <c r="I24" s="1" t="s">
        <v>374</v>
      </c>
      <c r="J24" s="1" t="s">
        <v>3</v>
      </c>
      <c r="P24" s="1">
        <v>16000000</v>
      </c>
    </row>
    <row r="25" spans="1:16" x14ac:dyDescent="0.25">
      <c r="A25" s="1">
        <v>23</v>
      </c>
      <c r="B25" s="1" t="s">
        <v>47</v>
      </c>
      <c r="C25" s="1">
        <v>8.6</v>
      </c>
      <c r="D25" s="1">
        <f t="shared" si="0"/>
        <v>1600000</v>
      </c>
      <c r="E25" s="1">
        <v>1954</v>
      </c>
      <c r="F25" s="1">
        <v>20</v>
      </c>
      <c r="G25" s="1" t="s">
        <v>48</v>
      </c>
      <c r="H25" s="1">
        <v>207</v>
      </c>
      <c r="I25" s="1" t="s">
        <v>375</v>
      </c>
      <c r="J25" s="1" t="s">
        <v>49</v>
      </c>
      <c r="P25" s="1">
        <v>15000000</v>
      </c>
    </row>
    <row r="26" spans="1:16" x14ac:dyDescent="0.25">
      <c r="A26" s="1">
        <v>24</v>
      </c>
      <c r="B26" s="1" t="s">
        <v>50</v>
      </c>
      <c r="C26" s="1">
        <v>8.6</v>
      </c>
      <c r="D26" s="1">
        <f t="shared" si="0"/>
        <v>1500000</v>
      </c>
      <c r="E26" s="1">
        <v>1998</v>
      </c>
      <c r="F26" s="1">
        <v>20</v>
      </c>
      <c r="G26" s="1" t="s">
        <v>38</v>
      </c>
      <c r="H26" s="1">
        <v>169</v>
      </c>
      <c r="I26" s="1" t="s">
        <v>375</v>
      </c>
      <c r="J26" s="1" t="s">
        <v>3</v>
      </c>
      <c r="P26" s="1">
        <v>852000</v>
      </c>
    </row>
    <row r="27" spans="1:16" x14ac:dyDescent="0.25">
      <c r="A27" s="1">
        <v>25</v>
      </c>
      <c r="B27" s="1" t="s">
        <v>51</v>
      </c>
      <c r="C27" s="1">
        <v>8.6</v>
      </c>
      <c r="D27" s="1">
        <f t="shared" si="0"/>
        <v>85200</v>
      </c>
      <c r="E27" s="1">
        <v>1999</v>
      </c>
      <c r="F27" s="1">
        <v>20</v>
      </c>
      <c r="G27" s="1" t="s">
        <v>52</v>
      </c>
      <c r="H27" s="1">
        <v>189</v>
      </c>
      <c r="I27" s="1" t="s">
        <v>375</v>
      </c>
      <c r="J27" s="1" t="s">
        <v>3</v>
      </c>
      <c r="P27" s="1">
        <v>793000</v>
      </c>
    </row>
    <row r="28" spans="1:16" x14ac:dyDescent="0.25">
      <c r="A28" s="1">
        <v>26</v>
      </c>
      <c r="B28" s="1" t="s">
        <v>53</v>
      </c>
      <c r="C28" s="1">
        <v>8.6</v>
      </c>
      <c r="D28" s="1">
        <f t="shared" si="0"/>
        <v>79300</v>
      </c>
      <c r="E28" s="1">
        <v>2002</v>
      </c>
      <c r="F28" s="1">
        <v>21</v>
      </c>
      <c r="G28" s="1" t="s">
        <v>44</v>
      </c>
      <c r="H28" s="1">
        <v>130</v>
      </c>
      <c r="I28" s="1" t="s">
        <v>374</v>
      </c>
      <c r="J28" s="1" t="s">
        <v>3</v>
      </c>
      <c r="P28" s="1">
        <v>13000000</v>
      </c>
    </row>
    <row r="29" spans="1:16" x14ac:dyDescent="0.25">
      <c r="A29" s="1">
        <v>27</v>
      </c>
      <c r="B29" s="1" t="s">
        <v>54</v>
      </c>
      <c r="C29" s="1">
        <v>8.6</v>
      </c>
      <c r="D29" s="1">
        <f t="shared" si="0"/>
        <v>1300000</v>
      </c>
      <c r="E29" s="1">
        <v>1997</v>
      </c>
      <c r="F29" s="1">
        <v>20</v>
      </c>
      <c r="G29" s="1" t="s">
        <v>55</v>
      </c>
      <c r="H29" s="1">
        <v>116</v>
      </c>
      <c r="I29" s="1" t="s">
        <v>374</v>
      </c>
      <c r="J29" s="1" t="s">
        <v>8</v>
      </c>
      <c r="P29" s="1">
        <v>15000000</v>
      </c>
    </row>
    <row r="30" spans="1:16" x14ac:dyDescent="0.25">
      <c r="A30" s="1">
        <v>28</v>
      </c>
      <c r="B30" s="1" t="s">
        <v>56</v>
      </c>
      <c r="C30" s="1">
        <v>8.6</v>
      </c>
      <c r="D30" s="1">
        <f t="shared" si="0"/>
        <v>1500000</v>
      </c>
      <c r="E30" s="1">
        <v>1991</v>
      </c>
      <c r="F30" s="1">
        <v>20</v>
      </c>
      <c r="G30" s="1" t="s">
        <v>57</v>
      </c>
      <c r="H30" s="1">
        <v>137</v>
      </c>
      <c r="I30" s="1" t="s">
        <v>374</v>
      </c>
      <c r="J30" s="1" t="s">
        <v>3</v>
      </c>
      <c r="P30" s="1">
        <v>14000000</v>
      </c>
    </row>
    <row r="31" spans="1:16" x14ac:dyDescent="0.25">
      <c r="A31" s="1">
        <v>29</v>
      </c>
      <c r="B31" s="1" t="s">
        <v>58</v>
      </c>
      <c r="C31" s="1">
        <v>8.6</v>
      </c>
      <c r="D31" s="1">
        <f t="shared" si="0"/>
        <v>1400000</v>
      </c>
      <c r="E31" s="1">
        <v>1977</v>
      </c>
      <c r="F31" s="1">
        <v>20</v>
      </c>
      <c r="G31" s="1" t="s">
        <v>59</v>
      </c>
      <c r="H31" s="1">
        <v>121</v>
      </c>
      <c r="I31" s="1" t="s">
        <v>374</v>
      </c>
      <c r="J31" s="1" t="s">
        <v>32</v>
      </c>
      <c r="P31" s="1">
        <v>936000</v>
      </c>
    </row>
    <row r="32" spans="1:16" x14ac:dyDescent="0.25">
      <c r="A32" s="1">
        <v>31</v>
      </c>
      <c r="B32" s="1" t="s">
        <v>61</v>
      </c>
      <c r="C32" s="1">
        <v>8.6</v>
      </c>
      <c r="D32" s="1">
        <f t="shared" si="0"/>
        <v>93600</v>
      </c>
      <c r="E32" s="1">
        <v>2001</v>
      </c>
      <c r="F32" s="1">
        <v>21</v>
      </c>
      <c r="G32" s="1" t="s">
        <v>31</v>
      </c>
      <c r="H32" s="1">
        <v>124</v>
      </c>
      <c r="I32" s="1" t="s">
        <v>374</v>
      </c>
      <c r="J32" s="1" t="s">
        <v>32</v>
      </c>
      <c r="P32" s="1">
        <v>987000</v>
      </c>
    </row>
    <row r="33" spans="1:16" x14ac:dyDescent="0.25">
      <c r="A33" s="1">
        <v>40</v>
      </c>
      <c r="B33" s="1" t="s">
        <v>78</v>
      </c>
      <c r="C33" s="1">
        <v>8.6</v>
      </c>
      <c r="D33" s="1">
        <f t="shared" si="0"/>
        <v>98700</v>
      </c>
      <c r="E33" s="1">
        <v>1962</v>
      </c>
      <c r="F33" s="1">
        <v>20</v>
      </c>
      <c r="G33" s="1" t="s">
        <v>40</v>
      </c>
      <c r="H33" s="1">
        <v>133</v>
      </c>
      <c r="I33" s="1" t="s">
        <v>374</v>
      </c>
      <c r="J33" s="1" t="s">
        <v>49</v>
      </c>
      <c r="P33" s="1">
        <v>18000000</v>
      </c>
    </row>
    <row r="34" spans="1:16" x14ac:dyDescent="0.25">
      <c r="A34" s="1">
        <v>142</v>
      </c>
      <c r="B34" s="1" t="s">
        <v>231</v>
      </c>
      <c r="C34" s="1">
        <v>8.6</v>
      </c>
      <c r="D34" s="1">
        <f t="shared" si="0"/>
        <v>1800000</v>
      </c>
      <c r="E34" s="1">
        <v>1975</v>
      </c>
      <c r="F34" s="1">
        <v>20</v>
      </c>
      <c r="G34" s="1" t="s">
        <v>144</v>
      </c>
      <c r="H34" s="1">
        <v>95</v>
      </c>
      <c r="I34" s="1" t="s">
        <v>376</v>
      </c>
      <c r="J34" s="1" t="s">
        <v>385</v>
      </c>
      <c r="P34" s="1">
        <v>11000000</v>
      </c>
    </row>
    <row r="35" spans="1:16" x14ac:dyDescent="0.25">
      <c r="A35" s="1">
        <v>224</v>
      </c>
      <c r="B35" s="1" t="s">
        <v>332</v>
      </c>
      <c r="C35" s="1">
        <v>8.6</v>
      </c>
      <c r="D35" s="1">
        <f t="shared" si="0"/>
        <v>1100000</v>
      </c>
      <c r="E35" s="1">
        <v>2021</v>
      </c>
      <c r="F35" s="1">
        <v>21</v>
      </c>
      <c r="G35" s="1" t="s">
        <v>128</v>
      </c>
      <c r="H35" s="1">
        <v>164</v>
      </c>
      <c r="I35" s="1" t="s">
        <v>375</v>
      </c>
      <c r="J35" s="1" t="s">
        <v>13</v>
      </c>
      <c r="P35" s="1">
        <v>768000</v>
      </c>
    </row>
    <row r="36" spans="1:16" x14ac:dyDescent="0.25">
      <c r="A36" s="1">
        <v>30</v>
      </c>
      <c r="B36" s="1" t="s">
        <v>60</v>
      </c>
      <c r="C36" s="1">
        <v>8.5</v>
      </c>
      <c r="D36" s="1">
        <f t="shared" si="0"/>
        <v>76800</v>
      </c>
      <c r="E36" s="1">
        <v>1985</v>
      </c>
      <c r="F36" s="1">
        <v>20</v>
      </c>
      <c r="G36" s="1" t="s">
        <v>55</v>
      </c>
      <c r="H36" s="1">
        <v>116</v>
      </c>
      <c r="I36" s="1" t="s">
        <v>374</v>
      </c>
      <c r="J36" s="1" t="s">
        <v>32</v>
      </c>
      <c r="P36" s="1">
        <v>12000000</v>
      </c>
    </row>
    <row r="37" spans="1:16" x14ac:dyDescent="0.25">
      <c r="A37" s="1">
        <v>32</v>
      </c>
      <c r="B37" s="1" t="s">
        <v>62</v>
      </c>
      <c r="C37" s="1">
        <v>8.5</v>
      </c>
      <c r="D37" s="1">
        <f t="shared" si="0"/>
        <v>1200000</v>
      </c>
      <c r="E37" s="1">
        <v>2002</v>
      </c>
      <c r="F37" s="1">
        <v>21</v>
      </c>
      <c r="G37" s="1" t="s">
        <v>63</v>
      </c>
      <c r="H37" s="1">
        <v>150</v>
      </c>
      <c r="I37" s="1" t="s">
        <v>375</v>
      </c>
      <c r="J37" s="1" t="s">
        <v>3</v>
      </c>
      <c r="P37" s="1">
        <v>365000</v>
      </c>
    </row>
    <row r="38" spans="1:16" x14ac:dyDescent="0.25">
      <c r="A38" s="1">
        <v>33</v>
      </c>
      <c r="B38" s="1" t="s">
        <v>64</v>
      </c>
      <c r="C38" s="1">
        <v>8.5</v>
      </c>
      <c r="D38" s="1">
        <f t="shared" si="0"/>
        <v>36500</v>
      </c>
      <c r="E38" s="1">
        <v>2000</v>
      </c>
      <c r="F38" s="1">
        <v>20</v>
      </c>
      <c r="G38" s="1" t="s">
        <v>65</v>
      </c>
      <c r="H38" s="1">
        <v>155</v>
      </c>
      <c r="I38" s="1" t="s">
        <v>375</v>
      </c>
      <c r="J38" s="1" t="s">
        <v>3</v>
      </c>
      <c r="P38" s="1">
        <v>15000000</v>
      </c>
    </row>
    <row r="39" spans="1:16" x14ac:dyDescent="0.25">
      <c r="A39" s="1">
        <v>34</v>
      </c>
      <c r="B39" s="1" t="s">
        <v>66</v>
      </c>
      <c r="C39" s="1">
        <v>8.5</v>
      </c>
      <c r="D39" s="1">
        <f t="shared" si="0"/>
        <v>1500000</v>
      </c>
      <c r="E39" s="1">
        <v>2019</v>
      </c>
      <c r="F39" s="1">
        <v>21</v>
      </c>
      <c r="G39" s="1" t="s">
        <v>67</v>
      </c>
      <c r="H39" s="1">
        <v>132</v>
      </c>
      <c r="I39" s="1" t="s">
        <v>374</v>
      </c>
      <c r="J39" s="1" t="s">
        <v>3</v>
      </c>
      <c r="P39" s="1">
        <v>11000000</v>
      </c>
    </row>
    <row r="40" spans="1:16" x14ac:dyDescent="0.25">
      <c r="A40" s="1">
        <v>35</v>
      </c>
      <c r="B40" s="1" t="s">
        <v>68</v>
      </c>
      <c r="C40" s="1">
        <v>8.5</v>
      </c>
      <c r="D40" s="1">
        <f t="shared" si="0"/>
        <v>1100000</v>
      </c>
      <c r="E40" s="1">
        <v>1960</v>
      </c>
      <c r="F40" s="1">
        <v>20</v>
      </c>
      <c r="G40" s="1" t="s">
        <v>69</v>
      </c>
      <c r="H40" s="1">
        <v>109</v>
      </c>
      <c r="I40" s="1" t="s">
        <v>374</v>
      </c>
      <c r="J40" s="1" t="s">
        <v>3</v>
      </c>
      <c r="P40" s="1">
        <v>84000</v>
      </c>
    </row>
    <row r="41" spans="1:16" x14ac:dyDescent="0.25">
      <c r="A41" s="1">
        <v>36</v>
      </c>
      <c r="B41" s="1" t="s">
        <v>70</v>
      </c>
      <c r="C41" s="1">
        <v>8.5</v>
      </c>
      <c r="D41" s="1">
        <f t="shared" si="0"/>
        <v>8400</v>
      </c>
      <c r="E41" s="1">
        <v>1994</v>
      </c>
      <c r="F41" s="1">
        <v>20</v>
      </c>
      <c r="G41" s="1" t="s">
        <v>71</v>
      </c>
      <c r="H41" s="1">
        <v>88</v>
      </c>
      <c r="I41" s="1" t="s">
        <v>376</v>
      </c>
      <c r="J41" s="1" t="s">
        <v>72</v>
      </c>
      <c r="P41" s="1">
        <v>15000000</v>
      </c>
    </row>
    <row r="42" spans="1:16" x14ac:dyDescent="0.25">
      <c r="A42" s="1">
        <v>37</v>
      </c>
      <c r="B42" s="1" t="s">
        <v>73</v>
      </c>
      <c r="C42" s="1">
        <v>8.5</v>
      </c>
      <c r="D42" s="1">
        <f t="shared" si="0"/>
        <v>1500000</v>
      </c>
      <c r="E42" s="1">
        <v>1988</v>
      </c>
      <c r="F42" s="1">
        <v>20</v>
      </c>
      <c r="G42" s="1" t="s">
        <v>71</v>
      </c>
      <c r="H42" s="1">
        <v>88</v>
      </c>
      <c r="I42" s="1" t="s">
        <v>376</v>
      </c>
      <c r="J42" s="1" t="s">
        <v>49</v>
      </c>
      <c r="P42" s="1">
        <v>12000000</v>
      </c>
    </row>
    <row r="43" spans="1:16" x14ac:dyDescent="0.25">
      <c r="A43" s="1">
        <v>38</v>
      </c>
      <c r="B43" s="1" t="s">
        <v>74</v>
      </c>
      <c r="C43" s="1">
        <v>8.5</v>
      </c>
      <c r="D43" s="1">
        <f t="shared" si="0"/>
        <v>1200000</v>
      </c>
      <c r="E43" s="1">
        <v>2006</v>
      </c>
      <c r="F43" s="1">
        <v>21</v>
      </c>
      <c r="G43" s="1" t="s">
        <v>75</v>
      </c>
      <c r="H43" s="1">
        <v>151</v>
      </c>
      <c r="I43" s="1" t="s">
        <v>375</v>
      </c>
      <c r="J43" s="1" t="s">
        <v>3</v>
      </c>
      <c r="P43" s="1">
        <v>13000000</v>
      </c>
    </row>
    <row r="44" spans="1:16" x14ac:dyDescent="0.25">
      <c r="A44" s="1">
        <v>39</v>
      </c>
      <c r="B44" s="1" t="s">
        <v>76</v>
      </c>
      <c r="C44" s="1">
        <v>8.5</v>
      </c>
      <c r="D44" s="1">
        <f t="shared" si="0"/>
        <v>1300000</v>
      </c>
      <c r="E44" s="1">
        <v>2014</v>
      </c>
      <c r="F44" s="1">
        <v>21</v>
      </c>
      <c r="G44" s="1" t="s">
        <v>77</v>
      </c>
      <c r="H44" s="1">
        <v>106</v>
      </c>
      <c r="I44" s="1" t="s">
        <v>374</v>
      </c>
      <c r="J44" s="1" t="s">
        <v>3</v>
      </c>
      <c r="P44" s="1">
        <v>486000</v>
      </c>
    </row>
    <row r="45" spans="1:16" x14ac:dyDescent="0.25">
      <c r="A45" s="1">
        <v>41</v>
      </c>
      <c r="B45" s="1" t="s">
        <v>79</v>
      </c>
      <c r="C45" s="1">
        <v>8.5</v>
      </c>
      <c r="D45" s="1">
        <f t="shared" si="0"/>
        <v>48600</v>
      </c>
      <c r="E45" s="1">
        <v>2006</v>
      </c>
      <c r="F45" s="1">
        <v>21</v>
      </c>
      <c r="G45" s="1" t="s">
        <v>44</v>
      </c>
      <c r="H45" s="1">
        <v>130</v>
      </c>
      <c r="I45" s="1" t="s">
        <v>374</v>
      </c>
      <c r="J45" s="1" t="s">
        <v>8</v>
      </c>
      <c r="P45" s="1">
        <v>642000</v>
      </c>
    </row>
    <row r="46" spans="1:16" x14ac:dyDescent="0.25">
      <c r="A46" s="1">
        <v>42</v>
      </c>
      <c r="B46" s="1" t="s">
        <v>80</v>
      </c>
      <c r="C46" s="1">
        <v>8.5</v>
      </c>
      <c r="D46" s="1">
        <f t="shared" si="0"/>
        <v>64200</v>
      </c>
      <c r="E46" s="1">
        <v>1998</v>
      </c>
      <c r="F46" s="1">
        <v>20</v>
      </c>
      <c r="G46" s="1" t="s">
        <v>81</v>
      </c>
      <c r="H46" s="1">
        <v>119</v>
      </c>
      <c r="I46" s="1" t="s">
        <v>374</v>
      </c>
      <c r="J46" s="1" t="s">
        <v>3</v>
      </c>
      <c r="P46" s="1">
        <v>308000</v>
      </c>
    </row>
    <row r="47" spans="1:16" x14ac:dyDescent="0.25">
      <c r="A47" s="1">
        <v>43</v>
      </c>
      <c r="B47" s="1" t="s">
        <v>82</v>
      </c>
      <c r="C47" s="1">
        <v>8.5</v>
      </c>
      <c r="D47" s="1">
        <f t="shared" si="0"/>
        <v>30800</v>
      </c>
      <c r="E47" s="1">
        <v>1994</v>
      </c>
      <c r="F47" s="1">
        <v>20</v>
      </c>
      <c r="G47" s="1" t="s">
        <v>83</v>
      </c>
      <c r="H47" s="1">
        <v>110</v>
      </c>
      <c r="I47" s="1" t="s">
        <v>374</v>
      </c>
      <c r="J47" s="1" t="s">
        <v>3</v>
      </c>
      <c r="P47" s="1">
        <v>998000</v>
      </c>
    </row>
    <row r="48" spans="1:16" x14ac:dyDescent="0.25">
      <c r="A48" s="1">
        <v>44</v>
      </c>
      <c r="B48" s="1" t="s">
        <v>84</v>
      </c>
      <c r="C48" s="1">
        <v>8.5</v>
      </c>
      <c r="D48" s="1">
        <f t="shared" si="0"/>
        <v>99800</v>
      </c>
      <c r="E48" s="1">
        <v>2023</v>
      </c>
      <c r="F48" s="1">
        <v>21</v>
      </c>
      <c r="G48" s="1" t="s">
        <v>85</v>
      </c>
      <c r="H48" s="1">
        <v>140</v>
      </c>
      <c r="I48" s="1" t="s">
        <v>374</v>
      </c>
      <c r="J48" s="1" t="s">
        <v>32</v>
      </c>
      <c r="P48" s="1">
        <v>12000000</v>
      </c>
    </row>
    <row r="49" spans="1:16" x14ac:dyDescent="0.25">
      <c r="A49" s="1">
        <v>45</v>
      </c>
      <c r="B49" s="1" t="s">
        <v>86</v>
      </c>
      <c r="C49" s="1">
        <v>8.5</v>
      </c>
      <c r="D49" s="1">
        <f t="shared" si="0"/>
        <v>1200000</v>
      </c>
      <c r="E49" s="1">
        <v>1942</v>
      </c>
      <c r="F49" s="1">
        <v>20</v>
      </c>
      <c r="G49" s="1" t="s">
        <v>87</v>
      </c>
      <c r="H49" s="1">
        <v>102</v>
      </c>
      <c r="I49" s="1" t="s">
        <v>374</v>
      </c>
      <c r="J49" s="1" t="s">
        <v>32</v>
      </c>
      <c r="P49" s="1">
        <v>1000000</v>
      </c>
    </row>
    <row r="50" spans="1:16" x14ac:dyDescent="0.25">
      <c r="A50" s="1">
        <v>46</v>
      </c>
      <c r="B50" s="1" t="s">
        <v>88</v>
      </c>
      <c r="C50" s="1">
        <v>8.5</v>
      </c>
      <c r="D50" s="1">
        <f t="shared" si="0"/>
        <v>100000</v>
      </c>
      <c r="E50" s="1">
        <v>1988</v>
      </c>
      <c r="F50" s="1">
        <v>20</v>
      </c>
      <c r="G50" s="1" t="s">
        <v>89</v>
      </c>
      <c r="H50" s="1">
        <v>174</v>
      </c>
      <c r="I50" s="1" t="s">
        <v>375</v>
      </c>
      <c r="J50" s="1" t="s">
        <v>32</v>
      </c>
      <c r="P50" s="1">
        <v>278000</v>
      </c>
    </row>
    <row r="51" spans="1:16" x14ac:dyDescent="0.25">
      <c r="A51" s="1">
        <v>47</v>
      </c>
      <c r="B51" s="1" t="s">
        <v>90</v>
      </c>
      <c r="C51" s="1">
        <v>8.5</v>
      </c>
      <c r="D51" s="1">
        <f t="shared" si="0"/>
        <v>27800</v>
      </c>
      <c r="E51" s="1">
        <v>2011</v>
      </c>
      <c r="F51" s="1">
        <v>21</v>
      </c>
      <c r="G51" s="1" t="s">
        <v>91</v>
      </c>
      <c r="H51" s="1">
        <v>112</v>
      </c>
      <c r="I51" s="1" t="s">
        <v>374</v>
      </c>
      <c r="J51" s="1" t="s">
        <v>3</v>
      </c>
      <c r="P51" s="1">
        <v>556000</v>
      </c>
    </row>
    <row r="52" spans="1:16" x14ac:dyDescent="0.25">
      <c r="A52" s="1">
        <v>48</v>
      </c>
      <c r="B52" s="1" t="s">
        <v>92</v>
      </c>
      <c r="C52" s="1">
        <v>8.5</v>
      </c>
      <c r="D52" s="1">
        <f t="shared" si="0"/>
        <v>55600</v>
      </c>
      <c r="E52" s="1">
        <v>1995</v>
      </c>
      <c r="F52" s="1">
        <v>20</v>
      </c>
      <c r="G52" s="1" t="s">
        <v>77</v>
      </c>
      <c r="H52" s="1">
        <v>106</v>
      </c>
      <c r="I52" s="1" t="s">
        <v>374</v>
      </c>
      <c r="J52" s="1" t="s">
        <v>3</v>
      </c>
      <c r="P52" s="1">
        <v>18000000</v>
      </c>
    </row>
    <row r="53" spans="1:16" x14ac:dyDescent="0.25">
      <c r="A53" s="1">
        <v>49</v>
      </c>
      <c r="B53" s="1" t="s">
        <v>93</v>
      </c>
      <c r="C53" s="1">
        <v>8.5</v>
      </c>
      <c r="D53" s="1">
        <f t="shared" si="0"/>
        <v>1800000</v>
      </c>
      <c r="E53" s="1">
        <v>1979</v>
      </c>
      <c r="F53" s="1">
        <v>20</v>
      </c>
      <c r="G53" s="1" t="s">
        <v>94</v>
      </c>
      <c r="H53" s="1">
        <v>117</v>
      </c>
      <c r="I53" s="1" t="s">
        <v>374</v>
      </c>
      <c r="J53" s="1" t="s">
        <v>3</v>
      </c>
      <c r="P53" s="1">
        <v>375000</v>
      </c>
    </row>
    <row r="54" spans="1:16" x14ac:dyDescent="0.25">
      <c r="A54" s="1">
        <v>50</v>
      </c>
      <c r="B54" s="1" t="s">
        <v>95</v>
      </c>
      <c r="C54" s="1">
        <v>8.5</v>
      </c>
      <c r="D54" s="1">
        <f t="shared" si="0"/>
        <v>37500</v>
      </c>
      <c r="E54" s="1">
        <v>1936</v>
      </c>
      <c r="F54" s="1">
        <v>20</v>
      </c>
      <c r="G54" s="1" t="s">
        <v>96</v>
      </c>
      <c r="H54" s="1">
        <v>87</v>
      </c>
      <c r="I54" s="1" t="s">
        <v>376</v>
      </c>
      <c r="J54" s="1" t="s">
        <v>72</v>
      </c>
      <c r="P54" s="1">
        <v>210000</v>
      </c>
    </row>
    <row r="55" spans="1:16" x14ac:dyDescent="0.25">
      <c r="A55" s="1">
        <v>51</v>
      </c>
      <c r="B55" s="1" t="s">
        <v>97</v>
      </c>
      <c r="C55" s="1">
        <v>8.5</v>
      </c>
      <c r="D55" s="1">
        <f t="shared" si="0"/>
        <v>21000</v>
      </c>
      <c r="E55" s="1">
        <v>1954</v>
      </c>
      <c r="F55" s="1">
        <v>20</v>
      </c>
      <c r="G55" s="1" t="s">
        <v>91</v>
      </c>
      <c r="H55" s="1">
        <v>112</v>
      </c>
      <c r="I55" s="1" t="s">
        <v>374</v>
      </c>
      <c r="J55" s="1" t="s">
        <v>32</v>
      </c>
      <c r="P55" s="1">
        <v>754000</v>
      </c>
    </row>
    <row r="56" spans="1:16" x14ac:dyDescent="0.25">
      <c r="A56" s="1">
        <v>52</v>
      </c>
      <c r="B56" s="1" t="s">
        <v>98</v>
      </c>
      <c r="C56" s="1">
        <v>8.5</v>
      </c>
      <c r="D56" s="1">
        <f t="shared" si="0"/>
        <v>75400</v>
      </c>
      <c r="E56" s="1">
        <v>2012</v>
      </c>
      <c r="F56" s="1">
        <v>21</v>
      </c>
      <c r="G56" s="1" t="s">
        <v>99</v>
      </c>
      <c r="H56" s="1">
        <v>165</v>
      </c>
      <c r="I56" s="1" t="s">
        <v>375</v>
      </c>
      <c r="J56" s="1" t="s">
        <v>3</v>
      </c>
      <c r="P56" s="1">
        <v>13000000</v>
      </c>
    </row>
    <row r="57" spans="1:16" x14ac:dyDescent="0.25">
      <c r="A57" s="1">
        <v>53</v>
      </c>
      <c r="B57" s="1" t="s">
        <v>100</v>
      </c>
      <c r="C57" s="1">
        <v>8.5</v>
      </c>
      <c r="D57" s="1">
        <f t="shared" si="0"/>
        <v>1300000</v>
      </c>
      <c r="E57" s="1">
        <v>1968</v>
      </c>
      <c r="F57" s="1">
        <v>20</v>
      </c>
      <c r="G57" s="1" t="s">
        <v>101</v>
      </c>
      <c r="H57" s="1">
        <v>166</v>
      </c>
      <c r="I57" s="1" t="s">
        <v>375</v>
      </c>
      <c r="J57" s="1" t="s">
        <v>8</v>
      </c>
      <c r="P57" s="1">
        <v>14000000</v>
      </c>
    </row>
    <row r="58" spans="1:16" x14ac:dyDescent="0.25">
      <c r="A58" s="1">
        <v>54</v>
      </c>
      <c r="B58" s="1" t="s">
        <v>102</v>
      </c>
      <c r="C58" s="1">
        <v>8.5</v>
      </c>
      <c r="D58" s="1">
        <f t="shared" si="0"/>
        <v>1400000</v>
      </c>
      <c r="E58" s="1">
        <v>1931</v>
      </c>
      <c r="F58" s="1">
        <v>20</v>
      </c>
      <c r="G58" s="1" t="s">
        <v>96</v>
      </c>
      <c r="H58" s="1">
        <v>87</v>
      </c>
      <c r="I58" s="1" t="s">
        <v>376</v>
      </c>
      <c r="J58" s="1" t="s">
        <v>72</v>
      </c>
      <c r="P58" s="1">
        <v>674000</v>
      </c>
    </row>
    <row r="59" spans="1:16" x14ac:dyDescent="0.25">
      <c r="A59" s="1">
        <v>172</v>
      </c>
      <c r="B59" s="1" t="s">
        <v>268</v>
      </c>
      <c r="C59" s="1">
        <v>8.5</v>
      </c>
      <c r="D59" s="1">
        <f t="shared" si="0"/>
        <v>67400</v>
      </c>
      <c r="E59" s="1">
        <v>2025</v>
      </c>
      <c r="F59" s="1">
        <v>21</v>
      </c>
      <c r="G59" s="1" t="s">
        <v>65</v>
      </c>
      <c r="H59" s="1">
        <v>155</v>
      </c>
      <c r="I59" s="1" t="s">
        <v>375</v>
      </c>
      <c r="J59" s="1" t="s">
        <v>3</v>
      </c>
      <c r="P59" s="1">
        <v>11000000</v>
      </c>
    </row>
    <row r="60" spans="1:16" x14ac:dyDescent="0.25">
      <c r="A60" s="1">
        <v>55</v>
      </c>
      <c r="B60" s="1" t="s">
        <v>103</v>
      </c>
      <c r="C60" s="1">
        <v>8.4</v>
      </c>
      <c r="D60" s="1">
        <f t="shared" si="0"/>
        <v>1100000</v>
      </c>
      <c r="E60" s="1">
        <v>1979</v>
      </c>
      <c r="F60" s="1">
        <v>20</v>
      </c>
      <c r="G60" s="1" t="s">
        <v>104</v>
      </c>
      <c r="H60" s="1">
        <v>147</v>
      </c>
      <c r="I60" s="1" t="s">
        <v>374</v>
      </c>
      <c r="J60" s="1" t="s">
        <v>3</v>
      </c>
      <c r="P60" s="1">
        <v>13000000</v>
      </c>
    </row>
    <row r="61" spans="1:16" x14ac:dyDescent="0.25">
      <c r="A61" s="1">
        <v>56</v>
      </c>
      <c r="B61" s="1" t="s">
        <v>105</v>
      </c>
      <c r="C61" s="1">
        <v>8.4</v>
      </c>
      <c r="D61" s="1">
        <f t="shared" si="0"/>
        <v>1300000</v>
      </c>
      <c r="E61" s="1">
        <v>2008</v>
      </c>
      <c r="F61" s="1">
        <v>21</v>
      </c>
      <c r="G61" s="1" t="s">
        <v>106</v>
      </c>
      <c r="H61" s="1">
        <v>98</v>
      </c>
      <c r="I61" s="1" t="s">
        <v>376</v>
      </c>
      <c r="J61" s="1" t="s">
        <v>72</v>
      </c>
      <c r="P61" s="1">
        <v>434000</v>
      </c>
    </row>
    <row r="62" spans="1:16" x14ac:dyDescent="0.25">
      <c r="A62" s="1">
        <v>57</v>
      </c>
      <c r="B62" s="1" t="s">
        <v>107</v>
      </c>
      <c r="C62" s="1">
        <v>8.4</v>
      </c>
      <c r="D62" s="1">
        <f t="shared" si="0"/>
        <v>43400</v>
      </c>
      <c r="E62" s="1">
        <v>2000</v>
      </c>
      <c r="F62" s="1">
        <v>20</v>
      </c>
      <c r="G62" s="1" t="s">
        <v>108</v>
      </c>
      <c r="H62" s="1">
        <v>113</v>
      </c>
      <c r="I62" s="1" t="s">
        <v>374</v>
      </c>
      <c r="J62" s="1" t="s">
        <v>3</v>
      </c>
      <c r="P62" s="1">
        <v>253000</v>
      </c>
    </row>
    <row r="63" spans="1:16" x14ac:dyDescent="0.25">
      <c r="A63" s="1">
        <v>58</v>
      </c>
      <c r="B63" s="1" t="s">
        <v>109</v>
      </c>
      <c r="C63" s="1">
        <v>8.4</v>
      </c>
      <c r="D63" s="1">
        <f t="shared" si="0"/>
        <v>25300</v>
      </c>
      <c r="E63" s="1">
        <v>2024</v>
      </c>
      <c r="F63" s="1">
        <v>21</v>
      </c>
      <c r="G63" s="1" t="s">
        <v>101</v>
      </c>
      <c r="H63" s="1">
        <v>166</v>
      </c>
      <c r="I63" s="1" t="s">
        <v>375</v>
      </c>
      <c r="J63" s="1" t="s">
        <v>8</v>
      </c>
      <c r="P63" s="1">
        <v>756000</v>
      </c>
    </row>
    <row r="64" spans="1:16" x14ac:dyDescent="0.25">
      <c r="A64" s="1">
        <v>59</v>
      </c>
      <c r="B64" s="1" t="s">
        <v>110</v>
      </c>
      <c r="C64" s="1">
        <v>8.4</v>
      </c>
      <c r="D64" s="1">
        <f t="shared" si="0"/>
        <v>75600</v>
      </c>
      <c r="E64" s="1">
        <v>1981</v>
      </c>
      <c r="F64" s="1">
        <v>20</v>
      </c>
      <c r="G64" s="1" t="s">
        <v>111</v>
      </c>
      <c r="H64" s="1">
        <v>115</v>
      </c>
      <c r="I64" s="1" t="s">
        <v>374</v>
      </c>
      <c r="J64" s="1" t="s">
        <v>32</v>
      </c>
      <c r="P64" s="1">
        <v>155000</v>
      </c>
    </row>
    <row r="65" spans="1:16" x14ac:dyDescent="0.25">
      <c r="A65" s="1">
        <v>60</v>
      </c>
      <c r="B65" s="1" t="s">
        <v>112</v>
      </c>
      <c r="C65" s="1">
        <v>8.4</v>
      </c>
      <c r="D65" s="1">
        <f t="shared" si="0"/>
        <v>15500</v>
      </c>
      <c r="E65" s="1">
        <v>2018</v>
      </c>
      <c r="F65" s="1">
        <v>21</v>
      </c>
      <c r="G65" s="1" t="s">
        <v>113</v>
      </c>
      <c r="H65" s="1">
        <v>149</v>
      </c>
      <c r="I65" s="1" t="s">
        <v>374</v>
      </c>
      <c r="J65" s="1" t="s">
        <v>8</v>
      </c>
      <c r="P65" s="1">
        <v>231000</v>
      </c>
    </row>
    <row r="66" spans="1:16" x14ac:dyDescent="0.25">
      <c r="A66" s="1">
        <v>61</v>
      </c>
      <c r="B66" s="1" t="s">
        <v>114</v>
      </c>
      <c r="C66" s="1">
        <v>8.4</v>
      </c>
      <c r="D66" s="1">
        <f t="shared" ref="D66:D129" si="1">P65/10</f>
        <v>23100</v>
      </c>
      <c r="E66" s="1">
        <v>2006</v>
      </c>
      <c r="F66" s="1">
        <v>21</v>
      </c>
      <c r="G66" s="1" t="s">
        <v>57</v>
      </c>
      <c r="H66" s="1">
        <v>137</v>
      </c>
      <c r="I66" s="1" t="s">
        <v>374</v>
      </c>
      <c r="J66" s="1" t="s">
        <v>3</v>
      </c>
      <c r="P66" s="1">
        <v>12000000</v>
      </c>
    </row>
    <row r="67" spans="1:16" x14ac:dyDescent="0.25">
      <c r="A67" s="1">
        <v>62</v>
      </c>
      <c r="B67" s="1" t="s">
        <v>115</v>
      </c>
      <c r="C67" s="1">
        <v>8.4</v>
      </c>
      <c r="D67" s="1">
        <f t="shared" si="1"/>
        <v>1200000</v>
      </c>
      <c r="E67" s="1">
        <v>1950</v>
      </c>
      <c r="F67" s="1">
        <v>20</v>
      </c>
      <c r="G67" s="1" t="s">
        <v>83</v>
      </c>
      <c r="H67" s="1">
        <v>110</v>
      </c>
      <c r="I67" s="1" t="s">
        <v>374</v>
      </c>
      <c r="J67" s="1" t="s">
        <v>13</v>
      </c>
      <c r="P67" s="1">
        <v>253000</v>
      </c>
    </row>
    <row r="68" spans="1:16" x14ac:dyDescent="0.25">
      <c r="A68" s="1">
        <v>63</v>
      </c>
      <c r="B68" s="1" t="s">
        <v>116</v>
      </c>
      <c r="C68" s="1">
        <v>8.4</v>
      </c>
      <c r="D68" s="1">
        <f t="shared" si="1"/>
        <v>25300</v>
      </c>
      <c r="E68" s="1">
        <v>2018</v>
      </c>
      <c r="F68" s="1">
        <v>21</v>
      </c>
      <c r="G68" s="1" t="s">
        <v>94</v>
      </c>
      <c r="H68" s="1">
        <v>117</v>
      </c>
      <c r="I68" s="1" t="s">
        <v>374</v>
      </c>
      <c r="J68" s="1" t="s">
        <v>32</v>
      </c>
      <c r="P68" s="1">
        <v>17000000</v>
      </c>
    </row>
    <row r="69" spans="1:16" x14ac:dyDescent="0.25">
      <c r="A69" s="1">
        <v>64</v>
      </c>
      <c r="B69" s="1" t="s">
        <v>117</v>
      </c>
      <c r="C69" s="1">
        <v>8.4</v>
      </c>
      <c r="D69" s="1">
        <f t="shared" si="1"/>
        <v>1700000</v>
      </c>
      <c r="E69" s="1">
        <v>1957</v>
      </c>
      <c r="F69" s="1">
        <v>20</v>
      </c>
      <c r="G69" s="1" t="s">
        <v>55</v>
      </c>
      <c r="H69" s="1">
        <v>116</v>
      </c>
      <c r="I69" s="1" t="s">
        <v>374</v>
      </c>
      <c r="J69" s="1" t="s">
        <v>13</v>
      </c>
      <c r="P69" s="1">
        <v>823000</v>
      </c>
    </row>
    <row r="70" spans="1:16" x14ac:dyDescent="0.25">
      <c r="A70" s="1">
        <v>65</v>
      </c>
      <c r="B70" s="1" t="s">
        <v>118</v>
      </c>
      <c r="C70" s="1">
        <v>8.4</v>
      </c>
      <c r="D70" s="1">
        <f t="shared" si="1"/>
        <v>82300</v>
      </c>
      <c r="E70" s="1">
        <v>1957</v>
      </c>
      <c r="F70" s="1">
        <v>20</v>
      </c>
      <c r="G70" s="1" t="s">
        <v>71</v>
      </c>
      <c r="H70" s="1">
        <v>88</v>
      </c>
      <c r="I70" s="1" t="s">
        <v>376</v>
      </c>
      <c r="J70" s="1" t="s">
        <v>13</v>
      </c>
      <c r="P70" s="1">
        <v>158000</v>
      </c>
    </row>
    <row r="71" spans="1:16" x14ac:dyDescent="0.25">
      <c r="A71" s="1">
        <v>66</v>
      </c>
      <c r="B71" s="1" t="s">
        <v>119</v>
      </c>
      <c r="C71" s="1">
        <v>8.4</v>
      </c>
      <c r="D71" s="1">
        <f t="shared" si="1"/>
        <v>15800</v>
      </c>
      <c r="E71" s="1">
        <v>1980</v>
      </c>
      <c r="F71" s="1">
        <v>20</v>
      </c>
      <c r="G71" s="1" t="s">
        <v>120</v>
      </c>
      <c r="H71" s="1">
        <v>146</v>
      </c>
      <c r="I71" s="1" t="s">
        <v>374</v>
      </c>
      <c r="J71" s="1" t="s">
        <v>3</v>
      </c>
      <c r="P71" s="1">
        <v>19000000</v>
      </c>
    </row>
    <row r="72" spans="1:16" x14ac:dyDescent="0.25">
      <c r="A72" s="1">
        <v>67</v>
      </c>
      <c r="B72" s="1" t="s">
        <v>121</v>
      </c>
      <c r="C72" s="1">
        <v>8.4</v>
      </c>
      <c r="D72" s="1">
        <f t="shared" si="1"/>
        <v>1900000</v>
      </c>
      <c r="E72" s="1">
        <v>1940</v>
      </c>
      <c r="F72" s="1">
        <v>20</v>
      </c>
      <c r="G72" s="1" t="s">
        <v>122</v>
      </c>
      <c r="H72" s="1">
        <v>125</v>
      </c>
      <c r="I72" s="1" t="s">
        <v>374</v>
      </c>
      <c r="J72" s="1" t="s">
        <v>72</v>
      </c>
      <c r="P72" s="1">
        <v>65000</v>
      </c>
    </row>
    <row r="73" spans="1:16" x14ac:dyDescent="0.25">
      <c r="A73" s="1">
        <v>68</v>
      </c>
      <c r="B73" s="1" t="s">
        <v>123</v>
      </c>
      <c r="C73" s="1">
        <v>8.4</v>
      </c>
      <c r="D73" s="1">
        <f t="shared" si="1"/>
        <v>6500</v>
      </c>
      <c r="E73" s="1">
        <v>2009</v>
      </c>
      <c r="F73" s="1">
        <v>21</v>
      </c>
      <c r="G73" s="1" t="s">
        <v>124</v>
      </c>
      <c r="H73" s="1">
        <v>153</v>
      </c>
      <c r="I73" s="1" t="s">
        <v>375</v>
      </c>
      <c r="J73" s="1" t="s">
        <v>3</v>
      </c>
      <c r="P73" s="1">
        <v>674000</v>
      </c>
    </row>
    <row r="74" spans="1:16" x14ac:dyDescent="0.25">
      <c r="A74" s="1">
        <v>69</v>
      </c>
      <c r="B74" s="1" t="s">
        <v>125</v>
      </c>
      <c r="C74" s="1">
        <v>8.4</v>
      </c>
      <c r="D74" s="1">
        <f t="shared" si="1"/>
        <v>67400</v>
      </c>
      <c r="E74" s="1">
        <v>1986</v>
      </c>
      <c r="F74" s="1">
        <v>20</v>
      </c>
      <c r="G74" s="1" t="s">
        <v>57</v>
      </c>
      <c r="H74" s="1">
        <v>137</v>
      </c>
      <c r="I74" s="1" t="s">
        <v>374</v>
      </c>
      <c r="J74" s="1" t="s">
        <v>3</v>
      </c>
      <c r="P74" s="1">
        <v>14000000</v>
      </c>
    </row>
    <row r="75" spans="1:16" x14ac:dyDescent="0.25">
      <c r="A75" s="1">
        <v>71</v>
      </c>
      <c r="B75" s="1" t="s">
        <v>127</v>
      </c>
      <c r="C75" s="1">
        <v>8.4</v>
      </c>
      <c r="D75" s="1">
        <f t="shared" si="1"/>
        <v>1400000</v>
      </c>
      <c r="E75" s="1">
        <v>2012</v>
      </c>
      <c r="F75" s="1">
        <v>21</v>
      </c>
      <c r="G75" s="1" t="s">
        <v>128</v>
      </c>
      <c r="H75" s="1">
        <v>164</v>
      </c>
      <c r="I75" s="1" t="s">
        <v>375</v>
      </c>
      <c r="J75" s="1" t="s">
        <v>8</v>
      </c>
      <c r="P75" s="1">
        <v>456000</v>
      </c>
    </row>
    <row r="76" spans="1:16" x14ac:dyDescent="0.25">
      <c r="A76" s="1">
        <v>72</v>
      </c>
      <c r="B76" s="1" t="s">
        <v>129</v>
      </c>
      <c r="C76" s="1">
        <v>8.4</v>
      </c>
      <c r="D76" s="1">
        <f t="shared" si="1"/>
        <v>45600</v>
      </c>
      <c r="E76" s="1">
        <v>1963</v>
      </c>
      <c r="F76" s="1">
        <v>20</v>
      </c>
      <c r="G76" s="1" t="s">
        <v>130</v>
      </c>
      <c r="H76" s="1">
        <v>143</v>
      </c>
      <c r="I76" s="1" t="s">
        <v>374</v>
      </c>
      <c r="J76" s="1" t="s">
        <v>49</v>
      </c>
      <c r="P76" s="1">
        <v>12000000</v>
      </c>
    </row>
    <row r="77" spans="1:16" x14ac:dyDescent="0.25">
      <c r="A77" s="1">
        <v>73</v>
      </c>
      <c r="B77" s="1" t="s">
        <v>131</v>
      </c>
      <c r="C77" s="1">
        <v>8.4</v>
      </c>
      <c r="D77" s="1">
        <f t="shared" si="1"/>
        <v>1200000</v>
      </c>
      <c r="E77" s="1">
        <v>2017</v>
      </c>
      <c r="F77" s="1">
        <v>21</v>
      </c>
      <c r="G77" s="1" t="s">
        <v>132</v>
      </c>
      <c r="H77" s="1">
        <v>105</v>
      </c>
      <c r="I77" s="1" t="s">
        <v>374</v>
      </c>
      <c r="J77" s="1" t="s">
        <v>32</v>
      </c>
      <c r="P77" s="1">
        <v>11000000</v>
      </c>
    </row>
    <row r="78" spans="1:16" x14ac:dyDescent="0.25">
      <c r="A78" s="1">
        <v>74</v>
      </c>
      <c r="B78" s="1" t="s">
        <v>133</v>
      </c>
      <c r="C78" s="1">
        <v>8.4</v>
      </c>
      <c r="D78" s="1">
        <f t="shared" si="1"/>
        <v>1100000</v>
      </c>
      <c r="E78" s="1">
        <v>2019</v>
      </c>
      <c r="F78" s="1">
        <v>21</v>
      </c>
      <c r="G78" s="1" t="s">
        <v>134</v>
      </c>
      <c r="H78" s="1">
        <v>181</v>
      </c>
      <c r="I78" s="1" t="s">
        <v>375</v>
      </c>
      <c r="J78" s="1" t="s">
        <v>8</v>
      </c>
      <c r="P78" s="1">
        <v>697000</v>
      </c>
    </row>
    <row r="79" spans="1:16" x14ac:dyDescent="0.25">
      <c r="A79" s="1">
        <v>75</v>
      </c>
      <c r="B79" s="1" t="s">
        <v>135</v>
      </c>
      <c r="C79" s="1">
        <v>8.4</v>
      </c>
      <c r="D79" s="1">
        <f t="shared" si="1"/>
        <v>69700</v>
      </c>
      <c r="E79" s="1">
        <v>1984</v>
      </c>
      <c r="F79" s="1">
        <v>20</v>
      </c>
      <c r="G79" s="1" t="s">
        <v>136</v>
      </c>
      <c r="H79" s="1">
        <v>160</v>
      </c>
      <c r="I79" s="1" t="s">
        <v>375</v>
      </c>
      <c r="J79" s="1" t="s">
        <v>32</v>
      </c>
      <c r="P79" s="1">
        <v>544000</v>
      </c>
    </row>
    <row r="80" spans="1:16" x14ac:dyDescent="0.25">
      <c r="A80" s="1">
        <v>80</v>
      </c>
      <c r="B80" s="1" t="s">
        <v>145</v>
      </c>
      <c r="C80" s="1">
        <v>8.4</v>
      </c>
      <c r="D80" s="1">
        <f t="shared" si="1"/>
        <v>54400</v>
      </c>
      <c r="E80" s="1">
        <v>1981</v>
      </c>
      <c r="F80" s="1">
        <v>20</v>
      </c>
      <c r="G80" s="1" t="s">
        <v>113</v>
      </c>
      <c r="H80" s="1">
        <v>149</v>
      </c>
      <c r="I80" s="1" t="s">
        <v>374</v>
      </c>
      <c r="J80" s="1" t="s">
        <v>385</v>
      </c>
      <c r="P80" s="1">
        <v>283000</v>
      </c>
    </row>
    <row r="81" spans="1:16" x14ac:dyDescent="0.25">
      <c r="A81" s="1">
        <v>81</v>
      </c>
      <c r="B81" s="1" t="s">
        <v>146</v>
      </c>
      <c r="C81" s="1">
        <v>8.4</v>
      </c>
      <c r="D81" s="1">
        <f t="shared" si="1"/>
        <v>28300</v>
      </c>
      <c r="E81" s="1">
        <v>2016</v>
      </c>
      <c r="F81" s="1">
        <v>21</v>
      </c>
      <c r="G81" s="1" t="s">
        <v>77</v>
      </c>
      <c r="H81" s="1">
        <v>106</v>
      </c>
      <c r="I81" s="1" t="s">
        <v>374</v>
      </c>
      <c r="J81" s="1" t="s">
        <v>385</v>
      </c>
      <c r="P81" s="1">
        <v>373000</v>
      </c>
    </row>
    <row r="82" spans="1:16" x14ac:dyDescent="0.25">
      <c r="A82" s="1">
        <v>85</v>
      </c>
      <c r="B82" s="1" t="s">
        <v>151</v>
      </c>
      <c r="C82" s="1">
        <v>8.4</v>
      </c>
      <c r="D82" s="1">
        <f t="shared" si="1"/>
        <v>37300</v>
      </c>
      <c r="E82" s="1">
        <v>2009</v>
      </c>
      <c r="F82" s="1">
        <v>21</v>
      </c>
      <c r="G82" s="1" t="s">
        <v>152</v>
      </c>
      <c r="H82" s="1">
        <v>170</v>
      </c>
      <c r="I82" s="1" t="s">
        <v>375</v>
      </c>
      <c r="J82" s="1" t="s">
        <v>8</v>
      </c>
      <c r="P82" s="1">
        <v>11000000</v>
      </c>
    </row>
    <row r="83" spans="1:16" x14ac:dyDescent="0.25">
      <c r="A83" s="1">
        <v>87</v>
      </c>
      <c r="B83" s="1" t="s">
        <v>154</v>
      </c>
      <c r="C83" s="1">
        <v>8.4</v>
      </c>
      <c r="D83" s="1">
        <f t="shared" si="1"/>
        <v>1100000</v>
      </c>
      <c r="E83" s="1">
        <v>2018</v>
      </c>
      <c r="F83" s="1">
        <v>21</v>
      </c>
      <c r="G83" s="1" t="s">
        <v>138</v>
      </c>
      <c r="H83" s="1">
        <v>126</v>
      </c>
      <c r="I83" s="1" t="s">
        <v>374</v>
      </c>
      <c r="J83" s="1" t="s">
        <v>3</v>
      </c>
      <c r="P83" s="1">
        <v>471000</v>
      </c>
    </row>
    <row r="84" spans="1:16" x14ac:dyDescent="0.25">
      <c r="A84" s="1">
        <v>160</v>
      </c>
      <c r="B84" s="1" t="s">
        <v>253</v>
      </c>
      <c r="C84" s="1">
        <v>8.4</v>
      </c>
      <c r="D84" s="1">
        <f t="shared" si="1"/>
        <v>47100</v>
      </c>
      <c r="E84" s="1">
        <v>2003</v>
      </c>
      <c r="F84" s="1">
        <v>21</v>
      </c>
      <c r="G84" s="1" t="s">
        <v>254</v>
      </c>
      <c r="H84" s="1">
        <v>374</v>
      </c>
      <c r="I84" s="1" t="s">
        <v>375</v>
      </c>
      <c r="J84" s="1" t="s">
        <v>3</v>
      </c>
      <c r="P84" s="1">
        <v>13000000</v>
      </c>
    </row>
    <row r="85" spans="1:16" x14ac:dyDescent="0.25">
      <c r="A85" s="1">
        <v>76</v>
      </c>
      <c r="B85" s="1" t="s">
        <v>137</v>
      </c>
      <c r="C85" s="1">
        <v>8.3000000000000007</v>
      </c>
      <c r="D85" s="1">
        <f t="shared" si="1"/>
        <v>1300000</v>
      </c>
      <c r="E85" s="1">
        <v>1997</v>
      </c>
      <c r="F85" s="1">
        <v>20</v>
      </c>
      <c r="G85" s="1" t="s">
        <v>138</v>
      </c>
      <c r="H85" s="1">
        <v>126</v>
      </c>
      <c r="I85" s="1" t="s">
        <v>374</v>
      </c>
      <c r="J85" s="1" t="s">
        <v>3</v>
      </c>
      <c r="P85" s="1">
        <v>470000</v>
      </c>
    </row>
    <row r="86" spans="1:16" x14ac:dyDescent="0.25">
      <c r="A86" s="1">
        <v>77</v>
      </c>
      <c r="B86" s="1" t="s">
        <v>139</v>
      </c>
      <c r="C86" s="1">
        <v>8.3000000000000007</v>
      </c>
      <c r="D86" s="1">
        <f t="shared" si="1"/>
        <v>47000</v>
      </c>
      <c r="E86" s="1">
        <v>1995</v>
      </c>
      <c r="F86" s="1">
        <v>20</v>
      </c>
      <c r="G86" s="1" t="s">
        <v>140</v>
      </c>
      <c r="H86" s="1">
        <v>81</v>
      </c>
      <c r="I86" s="1" t="s">
        <v>376</v>
      </c>
      <c r="J86" s="1" t="s">
        <v>72</v>
      </c>
      <c r="P86" s="1">
        <v>16000000</v>
      </c>
    </row>
    <row r="87" spans="1:16" x14ac:dyDescent="0.25">
      <c r="A87" s="1">
        <v>78</v>
      </c>
      <c r="B87" s="1" t="s">
        <v>141</v>
      </c>
      <c r="C87" s="1">
        <v>8.3000000000000007</v>
      </c>
      <c r="D87" s="1">
        <f t="shared" si="1"/>
        <v>1600000</v>
      </c>
      <c r="E87" s="1">
        <v>2003</v>
      </c>
      <c r="F87" s="1">
        <v>21</v>
      </c>
      <c r="G87" s="1" t="s">
        <v>142</v>
      </c>
      <c r="H87" s="1">
        <v>120</v>
      </c>
      <c r="I87" s="1" t="s">
        <v>374</v>
      </c>
      <c r="J87" s="1" t="s">
        <v>3</v>
      </c>
      <c r="P87" s="1">
        <v>120000</v>
      </c>
    </row>
    <row r="88" spans="1:16" x14ac:dyDescent="0.25">
      <c r="A88" s="1">
        <v>79</v>
      </c>
      <c r="B88" s="1" t="s">
        <v>143</v>
      </c>
      <c r="C88" s="1">
        <v>8.3000000000000007</v>
      </c>
      <c r="D88" s="1">
        <f t="shared" si="1"/>
        <v>12000</v>
      </c>
      <c r="E88" s="1">
        <v>1964</v>
      </c>
      <c r="F88" s="1">
        <v>20</v>
      </c>
      <c r="G88" s="1" t="s">
        <v>144</v>
      </c>
      <c r="H88" s="1">
        <v>95</v>
      </c>
      <c r="I88" s="1" t="s">
        <v>376</v>
      </c>
      <c r="J88" s="1" t="s">
        <v>32</v>
      </c>
      <c r="P88" s="1">
        <v>401000</v>
      </c>
    </row>
    <row r="89" spans="1:16" x14ac:dyDescent="0.25">
      <c r="A89" s="1">
        <v>82</v>
      </c>
      <c r="B89" s="1" t="s">
        <v>147</v>
      </c>
      <c r="C89" s="1">
        <v>8.3000000000000007</v>
      </c>
      <c r="D89" s="1">
        <f t="shared" si="1"/>
        <v>40100</v>
      </c>
      <c r="E89" s="1">
        <v>1995</v>
      </c>
      <c r="F89" s="1">
        <v>20</v>
      </c>
      <c r="G89" s="1" t="s">
        <v>19</v>
      </c>
      <c r="H89" s="1">
        <v>178</v>
      </c>
      <c r="I89" s="1" t="s">
        <v>375</v>
      </c>
      <c r="J89" s="1" t="s">
        <v>3</v>
      </c>
      <c r="P89" s="1">
        <v>277000</v>
      </c>
    </row>
    <row r="90" spans="1:16" x14ac:dyDescent="0.25">
      <c r="A90" s="1">
        <v>83</v>
      </c>
      <c r="B90" s="1" t="s">
        <v>148</v>
      </c>
      <c r="C90" s="1">
        <v>8.3000000000000007</v>
      </c>
      <c r="D90" s="1">
        <f t="shared" si="1"/>
        <v>27700</v>
      </c>
      <c r="E90" s="1">
        <v>1997</v>
      </c>
      <c r="F90" s="1">
        <v>20</v>
      </c>
      <c r="G90" s="1" t="s">
        <v>40</v>
      </c>
      <c r="H90" s="1">
        <v>133</v>
      </c>
      <c r="I90" s="1" t="s">
        <v>374</v>
      </c>
      <c r="J90" s="1" t="s">
        <v>8</v>
      </c>
      <c r="P90" s="1">
        <v>117000</v>
      </c>
    </row>
    <row r="91" spans="1:16" x14ac:dyDescent="0.25">
      <c r="A91" s="1">
        <v>84</v>
      </c>
      <c r="B91" s="1" t="s">
        <v>149</v>
      </c>
      <c r="C91" s="1">
        <v>8.3000000000000007</v>
      </c>
      <c r="D91" s="1">
        <f t="shared" si="1"/>
        <v>11700</v>
      </c>
      <c r="E91" s="1">
        <v>1999</v>
      </c>
      <c r="F91" s="1">
        <v>20</v>
      </c>
      <c r="G91" s="1" t="s">
        <v>150</v>
      </c>
      <c r="H91" s="1">
        <v>122</v>
      </c>
      <c r="I91" s="1" t="s">
        <v>374</v>
      </c>
      <c r="J91" s="1" t="s">
        <v>3</v>
      </c>
      <c r="P91" s="1">
        <v>955000</v>
      </c>
    </row>
    <row r="92" spans="1:16" x14ac:dyDescent="0.25">
      <c r="A92" s="1">
        <v>86</v>
      </c>
      <c r="B92" s="1" t="s">
        <v>153</v>
      </c>
      <c r="C92" s="1">
        <v>8.3000000000000007</v>
      </c>
      <c r="D92" s="1">
        <f t="shared" si="1"/>
        <v>95500</v>
      </c>
      <c r="E92" s="1">
        <v>2019</v>
      </c>
      <c r="F92" s="1">
        <v>21</v>
      </c>
      <c r="G92" s="1" t="s">
        <v>150</v>
      </c>
      <c r="H92" s="1">
        <v>122</v>
      </c>
      <c r="I92" s="1" t="s">
        <v>374</v>
      </c>
      <c r="J92" s="1" t="s">
        <v>3</v>
      </c>
      <c r="P92" s="1">
        <v>12000000</v>
      </c>
    </row>
    <row r="93" spans="1:16" x14ac:dyDescent="0.25">
      <c r="A93" s="1">
        <v>88</v>
      </c>
      <c r="B93" s="1" t="s">
        <v>155</v>
      </c>
      <c r="C93" s="1">
        <v>8.3000000000000007</v>
      </c>
      <c r="D93" s="1">
        <f t="shared" si="1"/>
        <v>1200000</v>
      </c>
      <c r="E93" s="1">
        <v>1984</v>
      </c>
      <c r="F93" s="1">
        <v>20</v>
      </c>
      <c r="G93" s="1" t="s">
        <v>156</v>
      </c>
      <c r="H93" s="1">
        <v>229</v>
      </c>
      <c r="I93" s="1" t="s">
        <v>375</v>
      </c>
      <c r="J93" s="1" t="s">
        <v>3</v>
      </c>
      <c r="P93" s="1">
        <v>949000</v>
      </c>
    </row>
    <row r="94" spans="1:16" x14ac:dyDescent="0.25">
      <c r="A94" s="1">
        <v>89</v>
      </c>
      <c r="B94" s="1" t="s">
        <v>157</v>
      </c>
      <c r="C94" s="1">
        <v>8.3000000000000007</v>
      </c>
      <c r="D94" s="1">
        <f t="shared" si="1"/>
        <v>94900</v>
      </c>
      <c r="E94" s="1">
        <v>1952</v>
      </c>
      <c r="F94" s="1">
        <v>20</v>
      </c>
      <c r="G94" s="1" t="s">
        <v>158</v>
      </c>
      <c r="H94" s="1">
        <v>103</v>
      </c>
      <c r="I94" s="1" t="s">
        <v>374</v>
      </c>
      <c r="J94" s="1" t="s">
        <v>72</v>
      </c>
      <c r="P94" s="1">
        <v>398000</v>
      </c>
    </row>
    <row r="95" spans="1:16" x14ac:dyDescent="0.25">
      <c r="A95" s="1">
        <v>90</v>
      </c>
      <c r="B95" s="1" t="s">
        <v>159</v>
      </c>
      <c r="C95" s="1">
        <v>8.3000000000000007</v>
      </c>
      <c r="D95" s="1">
        <f t="shared" si="1"/>
        <v>39800</v>
      </c>
      <c r="E95" s="1">
        <v>1985</v>
      </c>
      <c r="F95" s="1">
        <v>20</v>
      </c>
      <c r="G95" s="1" t="s">
        <v>1</v>
      </c>
      <c r="H95" s="1">
        <v>142</v>
      </c>
      <c r="I95" s="1" t="s">
        <v>374</v>
      </c>
      <c r="J95" s="1" t="s">
        <v>49</v>
      </c>
      <c r="P95" s="1">
        <v>99000</v>
      </c>
    </row>
    <row r="96" spans="1:16" x14ac:dyDescent="0.25">
      <c r="A96" s="1">
        <v>91</v>
      </c>
      <c r="B96" s="1" t="s">
        <v>160</v>
      </c>
      <c r="C96" s="1">
        <v>8.3000000000000007</v>
      </c>
      <c r="D96" s="1">
        <f t="shared" si="1"/>
        <v>9900</v>
      </c>
      <c r="E96" s="1">
        <v>2000</v>
      </c>
      <c r="F96" s="1">
        <v>20</v>
      </c>
      <c r="G96" s="1" t="s">
        <v>87</v>
      </c>
      <c r="H96" s="1">
        <v>102</v>
      </c>
      <c r="I96" s="1" t="s">
        <v>374</v>
      </c>
      <c r="J96" s="1" t="s">
        <v>161</v>
      </c>
      <c r="P96" s="1">
        <v>12000000</v>
      </c>
    </row>
    <row r="97" spans="1:16" x14ac:dyDescent="0.25">
      <c r="A97" s="1">
        <v>92</v>
      </c>
      <c r="B97" s="1" t="s">
        <v>162</v>
      </c>
      <c r="C97" s="1">
        <v>8.3000000000000007</v>
      </c>
      <c r="D97" s="1">
        <f t="shared" si="1"/>
        <v>1200000</v>
      </c>
      <c r="E97" s="1">
        <v>1983</v>
      </c>
      <c r="F97" s="1">
        <v>20</v>
      </c>
      <c r="G97" s="1" t="s">
        <v>163</v>
      </c>
      <c r="H97" s="1">
        <v>131</v>
      </c>
      <c r="I97" s="1" t="s">
        <v>374</v>
      </c>
      <c r="J97" s="1" t="s">
        <v>32</v>
      </c>
      <c r="P97" s="1">
        <v>239000</v>
      </c>
    </row>
    <row r="98" spans="1:16" x14ac:dyDescent="0.25">
      <c r="A98" s="1">
        <v>93</v>
      </c>
      <c r="B98" s="1" t="s">
        <v>164</v>
      </c>
      <c r="C98" s="1">
        <v>8.3000000000000007</v>
      </c>
      <c r="D98" s="1">
        <f t="shared" si="1"/>
        <v>23900</v>
      </c>
      <c r="E98" s="1">
        <v>2010</v>
      </c>
      <c r="F98" s="1">
        <v>21</v>
      </c>
      <c r="G98" s="1" t="s">
        <v>158</v>
      </c>
      <c r="H98" s="1">
        <v>103</v>
      </c>
      <c r="I98" s="1" t="s">
        <v>374</v>
      </c>
      <c r="J98" s="1" t="s">
        <v>72</v>
      </c>
      <c r="P98" s="1">
        <v>213000</v>
      </c>
    </row>
    <row r="99" spans="1:16" x14ac:dyDescent="0.25">
      <c r="A99" s="1">
        <v>94</v>
      </c>
      <c r="B99" s="1" t="s">
        <v>165</v>
      </c>
      <c r="C99" s="1">
        <v>8.3000000000000007</v>
      </c>
      <c r="D99" s="1">
        <f t="shared" si="1"/>
        <v>21300</v>
      </c>
      <c r="E99" s="1">
        <v>2012</v>
      </c>
      <c r="F99" s="1">
        <v>21</v>
      </c>
      <c r="G99" s="1" t="s">
        <v>111</v>
      </c>
      <c r="H99" s="1">
        <v>115</v>
      </c>
      <c r="I99" s="1" t="s">
        <v>374</v>
      </c>
      <c r="J99" s="1" t="s">
        <v>3</v>
      </c>
      <c r="P99" s="1">
        <v>335000</v>
      </c>
    </row>
    <row r="100" spans="1:16" x14ac:dyDescent="0.25">
      <c r="A100" s="1">
        <v>95</v>
      </c>
      <c r="B100" s="1" t="s">
        <v>166</v>
      </c>
      <c r="C100" s="1">
        <v>8.3000000000000007</v>
      </c>
      <c r="D100" s="1">
        <f t="shared" si="1"/>
        <v>33500</v>
      </c>
      <c r="E100" s="1">
        <v>1952</v>
      </c>
      <c r="F100" s="1">
        <v>20</v>
      </c>
      <c r="G100" s="1" t="s">
        <v>130</v>
      </c>
      <c r="H100" s="1">
        <v>143</v>
      </c>
      <c r="I100" s="1" t="s">
        <v>374</v>
      </c>
      <c r="J100" s="1" t="s">
        <v>49</v>
      </c>
      <c r="P100" s="1">
        <v>767000</v>
      </c>
    </row>
    <row r="101" spans="1:16" x14ac:dyDescent="0.25">
      <c r="A101" s="1">
        <v>96</v>
      </c>
      <c r="B101" s="1" t="s">
        <v>167</v>
      </c>
      <c r="C101" s="1">
        <v>8.3000000000000007</v>
      </c>
      <c r="D101" s="1">
        <f t="shared" si="1"/>
        <v>76700</v>
      </c>
      <c r="E101" s="1">
        <v>2004</v>
      </c>
      <c r="F101" s="1">
        <v>21</v>
      </c>
      <c r="G101" s="1" t="s">
        <v>168</v>
      </c>
      <c r="H101" s="1">
        <v>108</v>
      </c>
      <c r="I101" s="1" t="s">
        <v>374</v>
      </c>
      <c r="J101" s="1" t="s">
        <v>3</v>
      </c>
      <c r="P101" s="1">
        <v>12000000</v>
      </c>
    </row>
    <row r="102" spans="1:16" x14ac:dyDescent="0.25">
      <c r="A102" s="1">
        <v>97</v>
      </c>
      <c r="B102" s="1" t="s">
        <v>169</v>
      </c>
      <c r="C102" s="1">
        <v>8.3000000000000007</v>
      </c>
      <c r="D102" s="1">
        <f t="shared" si="1"/>
        <v>1200000</v>
      </c>
      <c r="E102" s="1">
        <v>2010</v>
      </c>
      <c r="F102" s="1">
        <v>21</v>
      </c>
      <c r="G102" s="1" t="s">
        <v>163</v>
      </c>
      <c r="H102" s="1">
        <v>131</v>
      </c>
      <c r="I102" s="1" t="s">
        <v>374</v>
      </c>
      <c r="J102" s="1" t="s">
        <v>3</v>
      </c>
      <c r="P102" s="1">
        <v>989000</v>
      </c>
    </row>
    <row r="103" spans="1:16" x14ac:dyDescent="0.25">
      <c r="A103" s="1">
        <v>98</v>
      </c>
      <c r="B103" s="1" t="s">
        <v>170</v>
      </c>
      <c r="C103" s="1">
        <v>8.3000000000000007</v>
      </c>
      <c r="D103" s="1">
        <f t="shared" si="1"/>
        <v>98900</v>
      </c>
      <c r="E103" s="1">
        <v>1960</v>
      </c>
      <c r="F103" s="1">
        <v>20</v>
      </c>
      <c r="G103" s="1" t="s">
        <v>122</v>
      </c>
      <c r="H103" s="1">
        <v>125</v>
      </c>
      <c r="I103" s="1" t="s">
        <v>374</v>
      </c>
      <c r="J103" s="1" t="s">
        <v>13</v>
      </c>
      <c r="P103" s="1">
        <v>778000</v>
      </c>
    </row>
    <row r="104" spans="1:16" x14ac:dyDescent="0.25">
      <c r="A104" s="1">
        <v>99</v>
      </c>
      <c r="B104" s="1" t="s">
        <v>171</v>
      </c>
      <c r="C104" s="1">
        <v>8.3000000000000007</v>
      </c>
      <c r="D104" s="1">
        <f t="shared" si="1"/>
        <v>77800</v>
      </c>
      <c r="E104" s="1">
        <v>1962</v>
      </c>
      <c r="F104" s="1">
        <v>20</v>
      </c>
      <c r="G104" s="1" t="s">
        <v>172</v>
      </c>
      <c r="H104" s="1">
        <v>227</v>
      </c>
      <c r="I104" s="1" t="s">
        <v>375</v>
      </c>
      <c r="J104" s="1" t="s">
        <v>13</v>
      </c>
      <c r="P104" s="1">
        <v>177000</v>
      </c>
    </row>
    <row r="105" spans="1:16" x14ac:dyDescent="0.25">
      <c r="A105" s="1">
        <v>100</v>
      </c>
      <c r="B105" s="1" t="s">
        <v>173</v>
      </c>
      <c r="C105" s="1">
        <v>8.3000000000000007</v>
      </c>
      <c r="D105" s="1">
        <f t="shared" si="1"/>
        <v>17700</v>
      </c>
      <c r="E105" s="1">
        <v>1968</v>
      </c>
      <c r="F105" s="1">
        <v>20</v>
      </c>
      <c r="G105" s="1" t="s">
        <v>113</v>
      </c>
      <c r="H105" s="1">
        <v>149</v>
      </c>
      <c r="I105" s="1" t="s">
        <v>374</v>
      </c>
      <c r="J105" s="1" t="s">
        <v>72</v>
      </c>
      <c r="P105" s="1">
        <v>12000000</v>
      </c>
    </row>
    <row r="106" spans="1:16" x14ac:dyDescent="0.25">
      <c r="A106" s="1">
        <v>101</v>
      </c>
      <c r="B106" s="1" t="s">
        <v>174</v>
      </c>
      <c r="C106" s="1">
        <v>8.3000000000000007</v>
      </c>
      <c r="D106" s="1">
        <f t="shared" si="1"/>
        <v>1200000</v>
      </c>
      <c r="E106" s="1">
        <v>1992</v>
      </c>
      <c r="F106" s="1">
        <v>20</v>
      </c>
      <c r="G106" s="1" t="s">
        <v>175</v>
      </c>
      <c r="H106" s="1">
        <v>99</v>
      </c>
      <c r="I106" s="1" t="s">
        <v>376</v>
      </c>
      <c r="J106" s="1" t="s">
        <v>3</v>
      </c>
      <c r="P106" s="1">
        <v>365000</v>
      </c>
    </row>
    <row r="107" spans="1:16" x14ac:dyDescent="0.25">
      <c r="A107" s="1">
        <v>102</v>
      </c>
      <c r="B107" s="1" t="s">
        <v>176</v>
      </c>
      <c r="C107" s="1">
        <v>8.3000000000000007</v>
      </c>
      <c r="D107" s="1">
        <f t="shared" si="1"/>
        <v>36500</v>
      </c>
      <c r="E107" s="1">
        <v>1983</v>
      </c>
      <c r="F107" s="1">
        <v>20</v>
      </c>
      <c r="G107" s="1" t="s">
        <v>152</v>
      </c>
      <c r="H107" s="1">
        <v>170</v>
      </c>
      <c r="I107" s="1" t="s">
        <v>375</v>
      </c>
      <c r="J107" s="1" t="s">
        <v>3</v>
      </c>
      <c r="P107" s="1">
        <v>180000</v>
      </c>
    </row>
    <row r="108" spans="1:16" x14ac:dyDescent="0.25">
      <c r="A108" s="1">
        <v>103</v>
      </c>
      <c r="B108" s="1" t="s">
        <v>177</v>
      </c>
      <c r="C108" s="1">
        <v>8.3000000000000007</v>
      </c>
      <c r="D108" s="1">
        <f t="shared" si="1"/>
        <v>18000</v>
      </c>
      <c r="E108" s="1">
        <v>1995</v>
      </c>
      <c r="F108" s="1">
        <v>20</v>
      </c>
      <c r="G108" s="1" t="s">
        <v>152</v>
      </c>
      <c r="H108" s="1">
        <v>170</v>
      </c>
      <c r="I108" s="1" t="s">
        <v>375</v>
      </c>
      <c r="J108" s="1" t="s">
        <v>3</v>
      </c>
      <c r="P108" s="1">
        <v>835000</v>
      </c>
    </row>
    <row r="109" spans="1:16" x14ac:dyDescent="0.25">
      <c r="A109" s="1">
        <v>104</v>
      </c>
      <c r="B109" s="1" t="s">
        <v>178</v>
      </c>
      <c r="C109" s="1">
        <v>8.3000000000000007</v>
      </c>
      <c r="D109" s="1">
        <f t="shared" si="1"/>
        <v>83500</v>
      </c>
      <c r="E109" s="1">
        <v>1944</v>
      </c>
      <c r="F109" s="1">
        <v>20</v>
      </c>
      <c r="G109" s="1" t="s">
        <v>179</v>
      </c>
      <c r="H109" s="1">
        <v>107</v>
      </c>
      <c r="I109" s="1" t="s">
        <v>374</v>
      </c>
      <c r="J109" s="1" t="s">
        <v>13</v>
      </c>
      <c r="P109" s="1">
        <v>487000</v>
      </c>
    </row>
    <row r="110" spans="1:16" x14ac:dyDescent="0.25">
      <c r="A110" s="1">
        <v>105</v>
      </c>
      <c r="B110" s="1" t="s">
        <v>180</v>
      </c>
      <c r="C110" s="1">
        <v>8.3000000000000007</v>
      </c>
      <c r="D110" s="1">
        <f t="shared" si="1"/>
        <v>48700</v>
      </c>
      <c r="E110" s="1">
        <v>2009</v>
      </c>
      <c r="F110" s="1">
        <v>21</v>
      </c>
      <c r="G110" s="1" t="s">
        <v>12</v>
      </c>
      <c r="H110" s="1">
        <v>96</v>
      </c>
      <c r="I110" s="1" t="s">
        <v>376</v>
      </c>
      <c r="J110" s="1" t="s">
        <v>32</v>
      </c>
      <c r="P110" s="1">
        <v>452000</v>
      </c>
    </row>
    <row r="111" spans="1:16" x14ac:dyDescent="0.25">
      <c r="A111" s="1">
        <v>106</v>
      </c>
      <c r="B111" s="1" t="s">
        <v>181</v>
      </c>
      <c r="C111" s="1">
        <v>8.3000000000000007</v>
      </c>
      <c r="D111" s="1">
        <f t="shared" si="1"/>
        <v>45200</v>
      </c>
      <c r="E111" s="1">
        <v>1959</v>
      </c>
      <c r="F111" s="1">
        <v>20</v>
      </c>
      <c r="G111" s="1" t="s">
        <v>34</v>
      </c>
      <c r="H111" s="1">
        <v>136</v>
      </c>
      <c r="I111" s="1" t="s">
        <v>374</v>
      </c>
      <c r="J111" s="1" t="s">
        <v>13</v>
      </c>
      <c r="P111" s="1">
        <v>828000</v>
      </c>
    </row>
    <row r="112" spans="1:16" x14ac:dyDescent="0.25">
      <c r="A112" s="1">
        <v>107</v>
      </c>
      <c r="B112" s="1" t="s">
        <v>182</v>
      </c>
      <c r="C112" s="1">
        <v>8.3000000000000007</v>
      </c>
      <c r="D112" s="1">
        <f t="shared" si="1"/>
        <v>82800</v>
      </c>
      <c r="E112" s="1">
        <v>1931</v>
      </c>
      <c r="F112" s="1">
        <v>20</v>
      </c>
      <c r="G112" s="1" t="s">
        <v>175</v>
      </c>
      <c r="H112" s="1">
        <v>99</v>
      </c>
      <c r="I112" s="1" t="s">
        <v>376</v>
      </c>
      <c r="J112" s="1" t="s">
        <v>183</v>
      </c>
      <c r="P112" s="1">
        <v>226000</v>
      </c>
    </row>
    <row r="113" spans="1:16" x14ac:dyDescent="0.25">
      <c r="A113" s="1">
        <v>111</v>
      </c>
      <c r="B113" s="1" t="s">
        <v>188</v>
      </c>
      <c r="C113" s="1">
        <v>8.3000000000000007</v>
      </c>
      <c r="D113" s="1">
        <f t="shared" si="1"/>
        <v>22600</v>
      </c>
      <c r="E113" s="1">
        <v>2001</v>
      </c>
      <c r="F113" s="1">
        <v>21</v>
      </c>
      <c r="G113" s="1" t="s">
        <v>150</v>
      </c>
      <c r="H113" s="1">
        <v>122</v>
      </c>
      <c r="I113" s="1" t="s">
        <v>374</v>
      </c>
      <c r="J113" s="1" t="s">
        <v>3</v>
      </c>
      <c r="P113" s="1">
        <v>273000</v>
      </c>
    </row>
    <row r="114" spans="1:16" x14ac:dyDescent="0.25">
      <c r="A114" s="1">
        <v>112</v>
      </c>
      <c r="B114" s="1" t="s">
        <v>189</v>
      </c>
      <c r="C114" s="1">
        <v>8.3000000000000007</v>
      </c>
      <c r="D114" s="1">
        <f t="shared" si="1"/>
        <v>27300</v>
      </c>
      <c r="E114" s="1">
        <v>2007</v>
      </c>
      <c r="F114" s="1">
        <v>21</v>
      </c>
      <c r="G114" s="1" t="s">
        <v>190</v>
      </c>
      <c r="H114" s="1">
        <v>162</v>
      </c>
      <c r="I114" s="1" t="s">
        <v>375</v>
      </c>
      <c r="J114" s="1" t="s">
        <v>32</v>
      </c>
      <c r="P114" s="1">
        <v>347000</v>
      </c>
    </row>
    <row r="115" spans="1:16" x14ac:dyDescent="0.25">
      <c r="A115" s="1">
        <v>113</v>
      </c>
      <c r="B115" s="1" t="s">
        <v>191</v>
      </c>
      <c r="C115" s="1">
        <v>8.3000000000000007</v>
      </c>
      <c r="D115" s="1">
        <f t="shared" si="1"/>
        <v>34700</v>
      </c>
      <c r="E115" s="1">
        <v>2011</v>
      </c>
      <c r="F115" s="1">
        <v>21</v>
      </c>
      <c r="G115" s="1" t="s">
        <v>192</v>
      </c>
      <c r="H115" s="1">
        <v>123</v>
      </c>
      <c r="I115" s="1" t="s">
        <v>374</v>
      </c>
      <c r="J115" s="1" t="s">
        <v>8</v>
      </c>
      <c r="P115" s="1">
        <v>1000000</v>
      </c>
    </row>
    <row r="116" spans="1:16" x14ac:dyDescent="0.25">
      <c r="A116" s="1">
        <v>114</v>
      </c>
      <c r="B116" s="1" t="s">
        <v>193</v>
      </c>
      <c r="C116" s="1">
        <v>8.3000000000000007</v>
      </c>
      <c r="D116" s="1">
        <f t="shared" si="1"/>
        <v>100000</v>
      </c>
      <c r="E116" s="1">
        <v>1962</v>
      </c>
      <c r="F116" s="1">
        <v>20</v>
      </c>
      <c r="G116" s="1" t="s">
        <v>194</v>
      </c>
      <c r="H116" s="1">
        <v>129</v>
      </c>
      <c r="I116" s="1" t="s">
        <v>374</v>
      </c>
      <c r="J116" s="1" t="s">
        <v>13</v>
      </c>
      <c r="P116" s="1">
        <v>850000</v>
      </c>
    </row>
    <row r="117" spans="1:16" x14ac:dyDescent="0.25">
      <c r="A117" s="1">
        <v>119</v>
      </c>
      <c r="B117" s="1" t="s">
        <v>199</v>
      </c>
      <c r="C117" s="1">
        <v>8.3000000000000007</v>
      </c>
      <c r="D117" s="1">
        <f t="shared" si="1"/>
        <v>85000</v>
      </c>
      <c r="E117" s="1">
        <v>1927</v>
      </c>
      <c r="F117" s="1">
        <v>20</v>
      </c>
      <c r="G117" s="1" t="s">
        <v>124</v>
      </c>
      <c r="H117" s="1">
        <v>153</v>
      </c>
      <c r="I117" s="1" t="s">
        <v>375</v>
      </c>
      <c r="J117" s="1" t="s">
        <v>49</v>
      </c>
      <c r="P117" s="1">
        <v>295000</v>
      </c>
    </row>
    <row r="118" spans="1:16" x14ac:dyDescent="0.25">
      <c r="A118" s="1">
        <v>122</v>
      </c>
      <c r="B118" s="1" t="s">
        <v>202</v>
      </c>
      <c r="C118" s="1">
        <v>8.3000000000000007</v>
      </c>
      <c r="D118" s="1">
        <f t="shared" si="1"/>
        <v>29500</v>
      </c>
      <c r="E118" s="1">
        <v>2023</v>
      </c>
      <c r="F118" s="1">
        <v>21</v>
      </c>
      <c r="G118" s="1" t="s">
        <v>203</v>
      </c>
      <c r="H118" s="1">
        <v>183</v>
      </c>
      <c r="I118" s="1" t="s">
        <v>375</v>
      </c>
      <c r="J118" s="1" t="s">
        <v>3</v>
      </c>
      <c r="P118" s="1">
        <v>923000</v>
      </c>
    </row>
    <row r="119" spans="1:16" x14ac:dyDescent="0.25">
      <c r="A119" s="1">
        <v>126</v>
      </c>
      <c r="B119" s="1" t="s">
        <v>210</v>
      </c>
      <c r="C119" s="1">
        <v>8.3000000000000007</v>
      </c>
      <c r="D119" s="1">
        <f t="shared" si="1"/>
        <v>92300</v>
      </c>
      <c r="E119" s="1">
        <v>2016</v>
      </c>
      <c r="F119" s="1">
        <v>21</v>
      </c>
      <c r="G119" s="1" t="s">
        <v>211</v>
      </c>
      <c r="H119" s="1">
        <v>161</v>
      </c>
      <c r="I119" s="1" t="s">
        <v>375</v>
      </c>
      <c r="J119" s="1" t="s">
        <v>49</v>
      </c>
      <c r="P119" s="1">
        <v>197000</v>
      </c>
    </row>
    <row r="120" spans="1:16" x14ac:dyDescent="0.25">
      <c r="A120" s="1">
        <v>131</v>
      </c>
      <c r="B120" s="1" t="s">
        <v>216</v>
      </c>
      <c r="C120" s="1">
        <v>8.3000000000000007</v>
      </c>
      <c r="D120" s="1">
        <f t="shared" si="1"/>
        <v>19700</v>
      </c>
      <c r="E120" s="1">
        <v>2020</v>
      </c>
      <c r="F120" s="1">
        <v>21</v>
      </c>
      <c r="G120" s="1" t="s">
        <v>136</v>
      </c>
      <c r="H120" s="1">
        <v>160</v>
      </c>
      <c r="I120" s="1" t="s">
        <v>375</v>
      </c>
      <c r="J120" s="1" t="s">
        <v>8</v>
      </c>
      <c r="P120" s="1">
        <v>960000</v>
      </c>
    </row>
    <row r="121" spans="1:16" x14ac:dyDescent="0.25">
      <c r="A121" s="1">
        <v>135</v>
      </c>
      <c r="B121" s="1" t="s">
        <v>221</v>
      </c>
      <c r="C121" s="1">
        <v>8.3000000000000007</v>
      </c>
      <c r="D121" s="1">
        <f t="shared" si="1"/>
        <v>96000</v>
      </c>
      <c r="E121" s="1">
        <v>1961</v>
      </c>
      <c r="F121" s="1">
        <v>20</v>
      </c>
      <c r="G121" s="1" t="s">
        <v>24</v>
      </c>
      <c r="H121" s="1">
        <v>179</v>
      </c>
      <c r="I121" s="1" t="s">
        <v>375</v>
      </c>
      <c r="J121" s="1" t="s">
        <v>13</v>
      </c>
      <c r="P121" s="1">
        <v>747000</v>
      </c>
    </row>
    <row r="122" spans="1:16" x14ac:dyDescent="0.25">
      <c r="A122" s="1">
        <v>220</v>
      </c>
      <c r="B122" s="1" t="s">
        <v>328</v>
      </c>
      <c r="C122" s="1">
        <v>8.3000000000000007</v>
      </c>
      <c r="D122" s="1">
        <f t="shared" si="1"/>
        <v>74700</v>
      </c>
      <c r="E122" s="1">
        <v>2024</v>
      </c>
      <c r="F122" s="1">
        <v>21</v>
      </c>
      <c r="G122" s="1" t="s">
        <v>270</v>
      </c>
      <c r="H122" s="1">
        <v>141</v>
      </c>
      <c r="I122" s="1" t="s">
        <v>374</v>
      </c>
      <c r="J122" s="1" t="s">
        <v>385</v>
      </c>
      <c r="P122" s="1">
        <v>950000</v>
      </c>
    </row>
    <row r="123" spans="1:16" x14ac:dyDescent="0.25">
      <c r="A123" s="1">
        <v>108</v>
      </c>
      <c r="B123" s="1" t="s">
        <v>184</v>
      </c>
      <c r="C123" s="1">
        <v>8.1999999999999993</v>
      </c>
      <c r="D123" s="1">
        <f t="shared" si="1"/>
        <v>95000</v>
      </c>
      <c r="E123" s="1">
        <v>1987</v>
      </c>
      <c r="F123" s="1">
        <v>20</v>
      </c>
      <c r="G123" s="1" t="s">
        <v>55</v>
      </c>
      <c r="H123" s="1">
        <v>116</v>
      </c>
      <c r="I123" s="1" t="s">
        <v>374</v>
      </c>
      <c r="J123" s="1" t="s">
        <v>3</v>
      </c>
      <c r="P123" s="1">
        <v>649000</v>
      </c>
    </row>
    <row r="124" spans="1:16" x14ac:dyDescent="0.25">
      <c r="A124" s="1">
        <v>109</v>
      </c>
      <c r="B124" s="1" t="s">
        <v>185</v>
      </c>
      <c r="C124" s="1">
        <v>8.1999999999999993</v>
      </c>
      <c r="D124" s="1">
        <f t="shared" si="1"/>
        <v>64900</v>
      </c>
      <c r="E124" s="1">
        <v>1941</v>
      </c>
      <c r="F124" s="1">
        <v>20</v>
      </c>
      <c r="G124" s="1" t="s">
        <v>81</v>
      </c>
      <c r="H124" s="1">
        <v>119</v>
      </c>
      <c r="I124" s="1" t="s">
        <v>374</v>
      </c>
      <c r="J124" s="1" t="s">
        <v>32</v>
      </c>
      <c r="P124" s="1">
        <v>394000</v>
      </c>
    </row>
    <row r="125" spans="1:16" x14ac:dyDescent="0.25">
      <c r="A125" s="1">
        <v>110</v>
      </c>
      <c r="B125" s="1" t="s">
        <v>186</v>
      </c>
      <c r="C125" s="1">
        <v>8.1999999999999993</v>
      </c>
      <c r="D125" s="1">
        <f t="shared" si="1"/>
        <v>39400</v>
      </c>
      <c r="E125" s="1">
        <v>1958</v>
      </c>
      <c r="F125" s="1">
        <v>20</v>
      </c>
      <c r="G125" s="1" t="s">
        <v>187</v>
      </c>
      <c r="H125" s="1">
        <v>128</v>
      </c>
      <c r="I125" s="1" t="s">
        <v>374</v>
      </c>
      <c r="J125" s="1" t="s">
        <v>32</v>
      </c>
      <c r="P125" s="1">
        <v>189000</v>
      </c>
    </row>
    <row r="126" spans="1:16" x14ac:dyDescent="0.25">
      <c r="A126" s="1">
        <v>115</v>
      </c>
      <c r="B126" s="1" t="s">
        <v>195</v>
      </c>
      <c r="C126" s="1">
        <v>8.1999999999999993</v>
      </c>
      <c r="D126" s="1">
        <f t="shared" si="1"/>
        <v>18900</v>
      </c>
      <c r="E126" s="1">
        <v>1988</v>
      </c>
      <c r="F126" s="1">
        <v>20</v>
      </c>
      <c r="G126" s="1" t="s">
        <v>67</v>
      </c>
      <c r="H126" s="1">
        <v>132</v>
      </c>
      <c r="I126" s="1" t="s">
        <v>374</v>
      </c>
      <c r="J126" s="1" t="s">
        <v>3</v>
      </c>
      <c r="P126" s="1">
        <v>234000</v>
      </c>
    </row>
    <row r="127" spans="1:16" x14ac:dyDescent="0.25">
      <c r="A127" s="1">
        <v>116</v>
      </c>
      <c r="B127" s="1" t="s">
        <v>196</v>
      </c>
      <c r="C127" s="1">
        <v>8.1999999999999993</v>
      </c>
      <c r="D127" s="1">
        <f t="shared" si="1"/>
        <v>23400</v>
      </c>
      <c r="E127" s="1">
        <v>1989</v>
      </c>
      <c r="F127" s="1">
        <v>20</v>
      </c>
      <c r="G127" s="1" t="s">
        <v>42</v>
      </c>
      <c r="H127" s="1">
        <v>127</v>
      </c>
      <c r="I127" s="1" t="s">
        <v>374</v>
      </c>
      <c r="J127" s="1" t="s">
        <v>8</v>
      </c>
      <c r="P127" s="1">
        <v>17000000</v>
      </c>
    </row>
    <row r="128" spans="1:16" x14ac:dyDescent="0.25">
      <c r="A128" s="1">
        <v>117</v>
      </c>
      <c r="B128" s="1" t="s">
        <v>197</v>
      </c>
      <c r="C128" s="1">
        <v>8.1999999999999993</v>
      </c>
      <c r="D128" s="1">
        <f t="shared" si="1"/>
        <v>1700000</v>
      </c>
      <c r="E128" s="1">
        <v>1973</v>
      </c>
      <c r="F128" s="1">
        <v>20</v>
      </c>
      <c r="G128" s="1" t="s">
        <v>194</v>
      </c>
      <c r="H128" s="1">
        <v>129</v>
      </c>
      <c r="I128" s="1" t="s">
        <v>374</v>
      </c>
      <c r="J128" s="1" t="s">
        <v>32</v>
      </c>
      <c r="P128" s="1">
        <v>658000</v>
      </c>
    </row>
    <row r="129" spans="1:16" x14ac:dyDescent="0.25">
      <c r="A129" s="1">
        <v>118</v>
      </c>
      <c r="B129" s="1" t="s">
        <v>198</v>
      </c>
      <c r="C129" s="1">
        <v>8.1999999999999993</v>
      </c>
      <c r="D129" s="1">
        <f t="shared" si="1"/>
        <v>65800</v>
      </c>
      <c r="E129" s="1">
        <v>1971</v>
      </c>
      <c r="F129" s="1">
        <v>20</v>
      </c>
      <c r="G129" s="1" t="s">
        <v>34</v>
      </c>
      <c r="H129" s="1">
        <v>136</v>
      </c>
      <c r="I129" s="1" t="s">
        <v>374</v>
      </c>
      <c r="J129" s="1" t="s">
        <v>3</v>
      </c>
      <c r="P129" s="1">
        <v>13000000</v>
      </c>
    </row>
    <row r="130" spans="1:16" x14ac:dyDescent="0.25">
      <c r="A130" s="1">
        <v>120</v>
      </c>
      <c r="B130" s="1" t="s">
        <v>200</v>
      </c>
      <c r="C130" s="1">
        <v>8.1999999999999993</v>
      </c>
      <c r="D130" s="1">
        <f t="shared" ref="D130:D193" si="2">P129/10</f>
        <v>1300000</v>
      </c>
      <c r="E130" s="1">
        <v>2000</v>
      </c>
      <c r="F130" s="1">
        <v>20</v>
      </c>
      <c r="G130" s="1" t="s">
        <v>87</v>
      </c>
      <c r="H130" s="1">
        <v>102</v>
      </c>
      <c r="I130" s="1" t="s">
        <v>374</v>
      </c>
      <c r="J130" s="1" t="s">
        <v>3</v>
      </c>
      <c r="P130" s="1">
        <v>17000000</v>
      </c>
    </row>
    <row r="131" spans="1:16" x14ac:dyDescent="0.25">
      <c r="A131" s="1">
        <v>121</v>
      </c>
      <c r="B131" s="1" t="s">
        <v>201</v>
      </c>
      <c r="C131" s="1">
        <v>8.1999999999999993</v>
      </c>
      <c r="D131" s="1">
        <f t="shared" si="2"/>
        <v>1700000</v>
      </c>
      <c r="E131" s="1">
        <v>2019</v>
      </c>
      <c r="F131" s="1">
        <v>21</v>
      </c>
      <c r="G131" s="1" t="s">
        <v>81</v>
      </c>
      <c r="H131" s="1">
        <v>119</v>
      </c>
      <c r="I131" s="1" t="s">
        <v>374</v>
      </c>
      <c r="J131" s="1" t="s">
        <v>3</v>
      </c>
      <c r="P131" s="1">
        <v>134000</v>
      </c>
    </row>
    <row r="132" spans="1:16" x14ac:dyDescent="0.25">
      <c r="A132" s="1">
        <v>123</v>
      </c>
      <c r="B132" s="1" t="s">
        <v>204</v>
      </c>
      <c r="C132" s="1">
        <v>8.1999999999999993</v>
      </c>
      <c r="D132" s="1">
        <f t="shared" si="2"/>
        <v>13400</v>
      </c>
      <c r="E132" s="1">
        <v>1997</v>
      </c>
      <c r="F132" s="1">
        <v>20</v>
      </c>
      <c r="G132" s="1" t="s">
        <v>205</v>
      </c>
      <c r="H132" s="1">
        <v>138</v>
      </c>
      <c r="I132" s="1" t="s">
        <v>374</v>
      </c>
      <c r="J132" s="1" t="s">
        <v>3</v>
      </c>
      <c r="P132" s="1">
        <v>1000000</v>
      </c>
    </row>
    <row r="133" spans="1:16" x14ac:dyDescent="0.25">
      <c r="A133" s="1">
        <v>124</v>
      </c>
      <c r="B133" s="1" t="s">
        <v>206</v>
      </c>
      <c r="C133" s="1">
        <v>8.1999999999999993</v>
      </c>
      <c r="D133" s="1">
        <f t="shared" si="2"/>
        <v>100000</v>
      </c>
      <c r="E133" s="1">
        <v>2004</v>
      </c>
      <c r="F133" s="1">
        <v>21</v>
      </c>
      <c r="G133" s="1" t="s">
        <v>207</v>
      </c>
      <c r="H133" s="1">
        <v>156</v>
      </c>
      <c r="I133" s="1" t="s">
        <v>375</v>
      </c>
      <c r="J133" s="1" t="s">
        <v>3</v>
      </c>
      <c r="P133" s="1">
        <v>294000</v>
      </c>
    </row>
    <row r="134" spans="1:16" x14ac:dyDescent="0.25">
      <c r="A134" s="1">
        <v>125</v>
      </c>
      <c r="B134" s="1" t="s">
        <v>208</v>
      </c>
      <c r="C134" s="1">
        <v>8.1999999999999993</v>
      </c>
      <c r="D134" s="1">
        <f t="shared" si="2"/>
        <v>29400</v>
      </c>
      <c r="E134" s="1">
        <v>1948</v>
      </c>
      <c r="F134" s="1">
        <v>20</v>
      </c>
      <c r="G134" s="1" t="s">
        <v>209</v>
      </c>
      <c r="H134" s="1">
        <v>89</v>
      </c>
      <c r="I134" s="1" t="s">
        <v>376</v>
      </c>
      <c r="J134" s="1" t="s">
        <v>49</v>
      </c>
      <c r="P134" s="1">
        <v>16000000</v>
      </c>
    </row>
    <row r="135" spans="1:16" x14ac:dyDescent="0.25">
      <c r="A135" s="1">
        <v>127</v>
      </c>
      <c r="B135" s="1" t="s">
        <v>212</v>
      </c>
      <c r="C135" s="1">
        <v>8.1999999999999993</v>
      </c>
      <c r="D135" s="1">
        <f t="shared" si="2"/>
        <v>1600000</v>
      </c>
      <c r="E135" s="1">
        <v>2013</v>
      </c>
      <c r="F135" s="1">
        <v>21</v>
      </c>
      <c r="G135" s="1" t="s">
        <v>203</v>
      </c>
      <c r="H135" s="1">
        <v>183</v>
      </c>
      <c r="I135" s="1" t="s">
        <v>375</v>
      </c>
      <c r="J135" s="1" t="s">
        <v>3</v>
      </c>
      <c r="P135" s="1">
        <v>94000</v>
      </c>
    </row>
    <row r="136" spans="1:16" x14ac:dyDescent="0.25">
      <c r="A136" s="1">
        <v>128</v>
      </c>
      <c r="B136" s="1" t="s">
        <v>213</v>
      </c>
      <c r="C136" s="1">
        <v>8.1999999999999993</v>
      </c>
      <c r="D136" s="1">
        <f t="shared" si="2"/>
        <v>9400</v>
      </c>
      <c r="E136" s="1">
        <v>2018</v>
      </c>
      <c r="F136" s="1">
        <v>21</v>
      </c>
      <c r="G136" s="1" t="s">
        <v>44</v>
      </c>
      <c r="H136" s="1">
        <v>130</v>
      </c>
      <c r="I136" s="1" t="s">
        <v>374</v>
      </c>
      <c r="J136" s="1" t="s">
        <v>8</v>
      </c>
      <c r="P136" s="1">
        <v>300000</v>
      </c>
    </row>
    <row r="137" spans="1:16" x14ac:dyDescent="0.25">
      <c r="A137" s="1">
        <v>129</v>
      </c>
      <c r="B137" s="1" t="s">
        <v>214</v>
      </c>
      <c r="C137" s="1">
        <v>8.1999999999999993</v>
      </c>
      <c r="D137" s="1">
        <f t="shared" si="2"/>
        <v>30000</v>
      </c>
      <c r="E137" s="1">
        <v>1998</v>
      </c>
      <c r="F137" s="1">
        <v>20</v>
      </c>
      <c r="G137" s="1" t="s">
        <v>158</v>
      </c>
      <c r="H137" s="1">
        <v>103</v>
      </c>
      <c r="I137" s="1" t="s">
        <v>374</v>
      </c>
      <c r="J137" s="1" t="s">
        <v>32</v>
      </c>
      <c r="P137" s="1">
        <v>11000000</v>
      </c>
    </row>
    <row r="138" spans="1:16" x14ac:dyDescent="0.25">
      <c r="A138" s="1">
        <v>130</v>
      </c>
      <c r="B138" s="1" t="s">
        <v>215</v>
      </c>
      <c r="C138" s="1">
        <v>8.1999999999999993</v>
      </c>
      <c r="D138" s="1">
        <f t="shared" si="2"/>
        <v>1100000</v>
      </c>
      <c r="E138" s="1">
        <v>2005</v>
      </c>
      <c r="F138" s="1">
        <v>21</v>
      </c>
      <c r="G138" s="1" t="s">
        <v>85</v>
      </c>
      <c r="H138" s="1">
        <v>140</v>
      </c>
      <c r="I138" s="1" t="s">
        <v>374</v>
      </c>
      <c r="J138" s="1" t="s">
        <v>8</v>
      </c>
      <c r="P138" s="1">
        <v>117000</v>
      </c>
    </row>
    <row r="139" spans="1:16" x14ac:dyDescent="0.25">
      <c r="A139" s="1">
        <v>132</v>
      </c>
      <c r="B139" s="1" t="s">
        <v>217</v>
      </c>
      <c r="C139" s="1">
        <v>8.1999999999999993</v>
      </c>
      <c r="D139" s="1">
        <f t="shared" si="2"/>
        <v>11700</v>
      </c>
      <c r="E139" s="1">
        <v>1976</v>
      </c>
      <c r="F139" s="1">
        <v>20</v>
      </c>
      <c r="G139" s="1" t="s">
        <v>218</v>
      </c>
      <c r="H139" s="1">
        <v>114</v>
      </c>
      <c r="I139" s="1" t="s">
        <v>374</v>
      </c>
      <c r="J139" s="1" t="s">
        <v>3</v>
      </c>
      <c r="P139" s="1">
        <v>688000</v>
      </c>
    </row>
    <row r="140" spans="1:16" x14ac:dyDescent="0.25">
      <c r="A140" s="1">
        <v>133</v>
      </c>
      <c r="B140" s="1" t="s">
        <v>219</v>
      </c>
      <c r="C140" s="1">
        <v>8.1999999999999993</v>
      </c>
      <c r="D140" s="1">
        <f t="shared" si="2"/>
        <v>68800</v>
      </c>
      <c r="E140" s="1">
        <v>1965</v>
      </c>
      <c r="F140" s="1">
        <v>20</v>
      </c>
      <c r="G140" s="1" t="s">
        <v>67</v>
      </c>
      <c r="H140" s="1">
        <v>132</v>
      </c>
      <c r="I140" s="1" t="s">
        <v>374</v>
      </c>
      <c r="J140" s="1" t="s">
        <v>3</v>
      </c>
      <c r="P140" s="1">
        <v>143000</v>
      </c>
    </row>
    <row r="141" spans="1:16" x14ac:dyDescent="0.25">
      <c r="A141" s="1">
        <v>134</v>
      </c>
      <c r="B141" s="1" t="s">
        <v>220</v>
      </c>
      <c r="C141" s="1">
        <v>8.1999999999999993</v>
      </c>
      <c r="D141" s="1">
        <f t="shared" si="2"/>
        <v>14300</v>
      </c>
      <c r="E141" s="1">
        <v>2010</v>
      </c>
      <c r="F141" s="1">
        <v>21</v>
      </c>
      <c r="G141" s="1" t="s">
        <v>205</v>
      </c>
      <c r="H141" s="1">
        <v>138</v>
      </c>
      <c r="I141" s="1" t="s">
        <v>374</v>
      </c>
      <c r="J141" s="1" t="s">
        <v>3</v>
      </c>
      <c r="P141" s="1">
        <v>221000</v>
      </c>
    </row>
    <row r="142" spans="1:16" x14ac:dyDescent="0.25">
      <c r="A142" s="1">
        <v>136</v>
      </c>
      <c r="B142" s="1" t="s">
        <v>222</v>
      </c>
      <c r="C142" s="1">
        <v>8.1999999999999993</v>
      </c>
      <c r="D142" s="1">
        <f t="shared" si="2"/>
        <v>22100</v>
      </c>
      <c r="E142" s="1">
        <v>1959</v>
      </c>
      <c r="F142" s="1">
        <v>20</v>
      </c>
      <c r="G142" s="1" t="s">
        <v>59</v>
      </c>
      <c r="H142" s="1">
        <v>121</v>
      </c>
      <c r="I142" s="1" t="s">
        <v>374</v>
      </c>
      <c r="J142" s="1" t="s">
        <v>13</v>
      </c>
      <c r="P142" s="1">
        <v>29000</v>
      </c>
    </row>
    <row r="143" spans="1:16" x14ac:dyDescent="0.25">
      <c r="A143" s="1">
        <v>137</v>
      </c>
      <c r="B143" s="1" t="s">
        <v>223</v>
      </c>
      <c r="C143" s="1">
        <v>8.1999999999999993</v>
      </c>
      <c r="D143" s="1">
        <f t="shared" si="2"/>
        <v>2900</v>
      </c>
      <c r="E143" s="1">
        <v>1993</v>
      </c>
      <c r="F143" s="1">
        <v>20</v>
      </c>
      <c r="G143" s="1" t="s">
        <v>42</v>
      </c>
      <c r="H143" s="1">
        <v>127</v>
      </c>
      <c r="I143" s="1" t="s">
        <v>374</v>
      </c>
      <c r="J143" s="1" t="s">
        <v>8</v>
      </c>
      <c r="P143" s="1">
        <v>147000</v>
      </c>
    </row>
    <row r="144" spans="1:16" x14ac:dyDescent="0.25">
      <c r="A144" s="1">
        <v>138</v>
      </c>
      <c r="B144" s="1" t="s">
        <v>224</v>
      </c>
      <c r="C144" s="1">
        <v>8.1999999999999993</v>
      </c>
      <c r="D144" s="1">
        <f t="shared" si="2"/>
        <v>14700</v>
      </c>
      <c r="E144" s="1">
        <v>2025</v>
      </c>
      <c r="F144" s="1">
        <v>21</v>
      </c>
      <c r="G144" s="1" t="s">
        <v>211</v>
      </c>
      <c r="H144" s="1">
        <v>161</v>
      </c>
      <c r="I144" s="1" t="s">
        <v>375</v>
      </c>
      <c r="J144" s="1" t="s">
        <v>3</v>
      </c>
      <c r="P144" s="1">
        <v>11000000</v>
      </c>
    </row>
    <row r="145" spans="1:16" x14ac:dyDescent="0.25">
      <c r="A145" s="1">
        <v>139</v>
      </c>
      <c r="B145" s="1" t="s">
        <v>225</v>
      </c>
      <c r="C145" s="1">
        <v>8.1999999999999993</v>
      </c>
      <c r="D145" s="1">
        <f t="shared" si="2"/>
        <v>1100000</v>
      </c>
      <c r="E145" s="1">
        <v>2007</v>
      </c>
      <c r="F145" s="1">
        <v>21</v>
      </c>
      <c r="G145" s="1" t="s">
        <v>226</v>
      </c>
      <c r="H145" s="1">
        <v>158</v>
      </c>
      <c r="I145" s="1" t="s">
        <v>375</v>
      </c>
      <c r="J145" s="1" t="s">
        <v>3</v>
      </c>
      <c r="P145" s="1">
        <v>148000</v>
      </c>
    </row>
    <row r="146" spans="1:16" x14ac:dyDescent="0.25">
      <c r="A146" s="1">
        <v>140</v>
      </c>
      <c r="B146" s="1" t="s">
        <v>227</v>
      </c>
      <c r="C146" s="1">
        <v>8.1999999999999993</v>
      </c>
      <c r="D146" s="1">
        <f t="shared" si="2"/>
        <v>14800</v>
      </c>
      <c r="E146" s="1">
        <v>1921</v>
      </c>
      <c r="F146" s="1">
        <v>20</v>
      </c>
      <c r="G146" s="1" t="s">
        <v>228</v>
      </c>
      <c r="H146" s="1">
        <v>68</v>
      </c>
      <c r="I146" s="1" t="s">
        <v>376</v>
      </c>
      <c r="J146" s="1" t="s">
        <v>183</v>
      </c>
      <c r="P146" s="1">
        <v>605000</v>
      </c>
    </row>
    <row r="147" spans="1:16" x14ac:dyDescent="0.25">
      <c r="A147" s="1">
        <v>141</v>
      </c>
      <c r="B147" s="1" t="s">
        <v>229</v>
      </c>
      <c r="C147" s="1">
        <v>8.1999999999999993</v>
      </c>
      <c r="D147" s="1">
        <f t="shared" si="2"/>
        <v>60500</v>
      </c>
      <c r="E147" s="1">
        <v>2020</v>
      </c>
      <c r="F147" s="1">
        <v>21</v>
      </c>
      <c r="G147" s="1" t="s">
        <v>230</v>
      </c>
      <c r="H147" s="1">
        <v>97</v>
      </c>
      <c r="I147" s="1" t="s">
        <v>376</v>
      </c>
      <c r="J147" s="1" t="s">
        <v>8</v>
      </c>
      <c r="P147" s="1">
        <v>12000000</v>
      </c>
    </row>
    <row r="148" spans="1:16" x14ac:dyDescent="0.25">
      <c r="A148" s="1">
        <v>143</v>
      </c>
      <c r="B148" s="1" t="s">
        <v>232</v>
      </c>
      <c r="C148" s="1">
        <v>8.1999999999999993</v>
      </c>
      <c r="D148" s="1">
        <f t="shared" si="2"/>
        <v>1200000</v>
      </c>
      <c r="E148" s="1">
        <v>1950</v>
      </c>
      <c r="F148" s="1">
        <v>20</v>
      </c>
      <c r="G148" s="1" t="s">
        <v>205</v>
      </c>
      <c r="H148" s="1">
        <v>138</v>
      </c>
      <c r="I148" s="1" t="s">
        <v>374</v>
      </c>
      <c r="J148" s="1" t="s">
        <v>13</v>
      </c>
      <c r="P148" s="1">
        <v>511000</v>
      </c>
    </row>
    <row r="149" spans="1:16" x14ac:dyDescent="0.25">
      <c r="A149" s="1">
        <v>144</v>
      </c>
      <c r="B149" s="1" t="s">
        <v>233</v>
      </c>
      <c r="C149" s="1">
        <v>8.1999999999999993</v>
      </c>
      <c r="D149" s="1">
        <f t="shared" si="2"/>
        <v>51100</v>
      </c>
      <c r="E149" s="1">
        <v>1999</v>
      </c>
      <c r="F149" s="1">
        <v>20</v>
      </c>
      <c r="G149" s="1" t="s">
        <v>179</v>
      </c>
      <c r="H149" s="1">
        <v>107</v>
      </c>
      <c r="I149" s="1" t="s">
        <v>374</v>
      </c>
      <c r="J149" s="1" t="s">
        <v>8</v>
      </c>
      <c r="P149" s="1">
        <v>809000</v>
      </c>
    </row>
    <row r="150" spans="1:16" x14ac:dyDescent="0.25">
      <c r="A150" s="1">
        <v>145</v>
      </c>
      <c r="B150" s="1" t="s">
        <v>234</v>
      </c>
      <c r="C150" s="1">
        <v>8.1999999999999993</v>
      </c>
      <c r="D150" s="1">
        <f t="shared" si="2"/>
        <v>80900</v>
      </c>
      <c r="E150" s="1">
        <v>1985</v>
      </c>
      <c r="F150" s="1">
        <v>20</v>
      </c>
      <c r="G150" s="1" t="s">
        <v>136</v>
      </c>
      <c r="H150" s="1">
        <v>160</v>
      </c>
      <c r="I150" s="1" t="s">
        <v>375</v>
      </c>
      <c r="J150" s="1" t="s">
        <v>3</v>
      </c>
      <c r="P150" s="1">
        <v>461000</v>
      </c>
    </row>
    <row r="151" spans="1:16" x14ac:dyDescent="0.25">
      <c r="A151" s="1">
        <v>146</v>
      </c>
      <c r="B151" s="1" t="s">
        <v>235</v>
      </c>
      <c r="C151" s="1">
        <v>8.1999999999999993</v>
      </c>
      <c r="D151" s="1">
        <f t="shared" si="2"/>
        <v>46100</v>
      </c>
      <c r="E151" s="1">
        <v>1995</v>
      </c>
      <c r="F151" s="1">
        <v>20</v>
      </c>
      <c r="G151" s="1" t="s">
        <v>19</v>
      </c>
      <c r="H151" s="1">
        <v>178</v>
      </c>
      <c r="I151" s="1" t="s">
        <v>375</v>
      </c>
      <c r="J151" s="1" t="s">
        <v>3</v>
      </c>
      <c r="P151" s="1">
        <v>735000</v>
      </c>
    </row>
    <row r="152" spans="1:16" x14ac:dyDescent="0.25">
      <c r="A152" s="1">
        <v>147</v>
      </c>
      <c r="B152" s="1" t="s">
        <v>236</v>
      </c>
      <c r="C152" s="1">
        <v>8.1999999999999993</v>
      </c>
      <c r="D152" s="1">
        <f t="shared" si="2"/>
        <v>73500</v>
      </c>
      <c r="E152" s="1">
        <v>2007</v>
      </c>
      <c r="F152" s="1">
        <v>21</v>
      </c>
      <c r="G152" s="1" t="s">
        <v>150</v>
      </c>
      <c r="H152" s="1">
        <v>122</v>
      </c>
      <c r="I152" s="1" t="s">
        <v>374</v>
      </c>
      <c r="J152" s="1" t="s">
        <v>3</v>
      </c>
      <c r="P152" s="1">
        <v>13000000</v>
      </c>
    </row>
    <row r="153" spans="1:16" x14ac:dyDescent="0.25">
      <c r="A153" s="1">
        <v>148</v>
      </c>
      <c r="B153" s="1" t="s">
        <v>237</v>
      </c>
      <c r="C153" s="1">
        <v>8.1999999999999993</v>
      </c>
      <c r="D153" s="1">
        <f t="shared" si="2"/>
        <v>1300000</v>
      </c>
      <c r="E153" s="1">
        <v>1982</v>
      </c>
      <c r="F153" s="1">
        <v>20</v>
      </c>
      <c r="G153" s="1" t="s">
        <v>69</v>
      </c>
      <c r="H153" s="1">
        <v>109</v>
      </c>
      <c r="I153" s="1" t="s">
        <v>374</v>
      </c>
      <c r="J153" s="1" t="s">
        <v>3</v>
      </c>
      <c r="P153" s="1">
        <v>900000</v>
      </c>
    </row>
    <row r="154" spans="1:16" x14ac:dyDescent="0.25">
      <c r="A154" s="1">
        <v>149</v>
      </c>
      <c r="B154" s="1" t="s">
        <v>238</v>
      </c>
      <c r="C154" s="1">
        <v>8.1999999999999993</v>
      </c>
      <c r="D154" s="1">
        <f t="shared" si="2"/>
        <v>90000</v>
      </c>
      <c r="E154" s="1">
        <v>2022</v>
      </c>
      <c r="F154" s="1">
        <v>21</v>
      </c>
      <c r="G154" s="1" t="s">
        <v>44</v>
      </c>
      <c r="H154" s="1">
        <v>130</v>
      </c>
      <c r="I154" s="1" t="s">
        <v>374</v>
      </c>
      <c r="J154" s="1" t="s">
        <v>8</v>
      </c>
      <c r="P154" s="1">
        <v>1000000</v>
      </c>
    </row>
    <row r="155" spans="1:16" x14ac:dyDescent="0.25">
      <c r="A155" s="1">
        <v>150</v>
      </c>
      <c r="B155" s="1" t="s">
        <v>239</v>
      </c>
      <c r="C155" s="1">
        <v>8.1999999999999993</v>
      </c>
      <c r="D155" s="1">
        <f t="shared" si="2"/>
        <v>100000</v>
      </c>
      <c r="E155" s="1">
        <v>1992</v>
      </c>
      <c r="F155" s="1">
        <v>20</v>
      </c>
      <c r="G155" s="1" t="s">
        <v>44</v>
      </c>
      <c r="H155" s="1">
        <v>130</v>
      </c>
      <c r="I155" s="1" t="s">
        <v>374</v>
      </c>
      <c r="J155" s="1" t="s">
        <v>3</v>
      </c>
      <c r="P155" s="1">
        <v>139000</v>
      </c>
    </row>
    <row r="156" spans="1:16" x14ac:dyDescent="0.25">
      <c r="A156" s="1">
        <v>151</v>
      </c>
      <c r="B156" s="1" t="s">
        <v>240</v>
      </c>
      <c r="C156" s="1">
        <v>8.1999999999999993</v>
      </c>
      <c r="D156" s="1">
        <f t="shared" si="2"/>
        <v>13900</v>
      </c>
      <c r="E156" s="1">
        <v>2006</v>
      </c>
      <c r="F156" s="1">
        <v>21</v>
      </c>
      <c r="G156" s="1" t="s">
        <v>46</v>
      </c>
      <c r="H156" s="1">
        <v>118</v>
      </c>
      <c r="I156" s="1" t="s">
        <v>374</v>
      </c>
      <c r="J156" s="1" t="s">
        <v>3</v>
      </c>
      <c r="P156" s="1">
        <v>497000</v>
      </c>
    </row>
    <row r="157" spans="1:16" x14ac:dyDescent="0.25">
      <c r="A157" s="1">
        <v>152</v>
      </c>
      <c r="B157" s="1" t="s">
        <v>241</v>
      </c>
      <c r="C157" s="1">
        <v>8.1999999999999993</v>
      </c>
      <c r="D157" s="1">
        <f t="shared" si="2"/>
        <v>49700</v>
      </c>
      <c r="E157" s="1">
        <v>2003</v>
      </c>
      <c r="F157" s="1">
        <v>21</v>
      </c>
      <c r="G157" s="1" t="s">
        <v>242</v>
      </c>
      <c r="H157" s="1">
        <v>111</v>
      </c>
      <c r="I157" s="1" t="s">
        <v>374</v>
      </c>
      <c r="J157" s="1" t="s">
        <v>3</v>
      </c>
      <c r="P157" s="1">
        <v>12000000</v>
      </c>
    </row>
    <row r="158" spans="1:16" x14ac:dyDescent="0.25">
      <c r="A158" s="1">
        <v>153</v>
      </c>
      <c r="B158" s="1" t="s">
        <v>243</v>
      </c>
      <c r="C158" s="1">
        <v>8.1999999999999993</v>
      </c>
      <c r="D158" s="1">
        <f t="shared" si="2"/>
        <v>1200000</v>
      </c>
      <c r="E158" s="1">
        <v>2013</v>
      </c>
      <c r="F158" s="1">
        <v>21</v>
      </c>
      <c r="G158" s="1" t="s">
        <v>124</v>
      </c>
      <c r="H158" s="1">
        <v>153</v>
      </c>
      <c r="I158" s="1" t="s">
        <v>375</v>
      </c>
      <c r="J158" s="1" t="s">
        <v>3</v>
      </c>
      <c r="P158" s="1">
        <v>140000</v>
      </c>
    </row>
    <row r="159" spans="1:16" x14ac:dyDescent="0.25">
      <c r="A159" s="1">
        <v>154</v>
      </c>
      <c r="B159" s="1" t="s">
        <v>244</v>
      </c>
      <c r="C159" s="1">
        <v>8.1999999999999993</v>
      </c>
      <c r="D159" s="1">
        <f t="shared" si="2"/>
        <v>14000</v>
      </c>
      <c r="E159" s="1">
        <v>2001</v>
      </c>
      <c r="F159" s="1">
        <v>21</v>
      </c>
      <c r="G159" s="1" t="s">
        <v>245</v>
      </c>
      <c r="H159" s="1">
        <v>135</v>
      </c>
      <c r="I159" s="1" t="s">
        <v>374</v>
      </c>
      <c r="J159" s="1" t="s">
        <v>8</v>
      </c>
      <c r="P159" s="1">
        <v>273000</v>
      </c>
    </row>
    <row r="160" spans="1:16" x14ac:dyDescent="0.25">
      <c r="A160" s="1">
        <v>155</v>
      </c>
      <c r="B160" s="1" t="s">
        <v>246</v>
      </c>
      <c r="C160" s="1">
        <v>8.1999999999999993</v>
      </c>
      <c r="D160" s="1">
        <f t="shared" si="2"/>
        <v>27300</v>
      </c>
      <c r="E160" s="1">
        <v>1948</v>
      </c>
      <c r="F160" s="1">
        <v>20</v>
      </c>
      <c r="G160" s="1" t="s">
        <v>138</v>
      </c>
      <c r="H160" s="1">
        <v>126</v>
      </c>
      <c r="I160" s="1" t="s">
        <v>374</v>
      </c>
      <c r="J160" s="1" t="s">
        <v>13</v>
      </c>
      <c r="P160" s="1">
        <v>27000</v>
      </c>
    </row>
    <row r="161" spans="1:16" x14ac:dyDescent="0.25">
      <c r="A161" s="1">
        <v>156</v>
      </c>
      <c r="B161" s="1" t="s">
        <v>247</v>
      </c>
      <c r="C161" s="1">
        <v>8.1999999999999993</v>
      </c>
      <c r="D161" s="1">
        <f t="shared" si="2"/>
        <v>2700</v>
      </c>
      <c r="E161" s="1">
        <v>2004</v>
      </c>
      <c r="F161" s="1">
        <v>21</v>
      </c>
      <c r="G161" s="1" t="s">
        <v>81</v>
      </c>
      <c r="H161" s="1">
        <v>119</v>
      </c>
      <c r="I161" s="1" t="s">
        <v>374</v>
      </c>
      <c r="J161" s="1" t="s">
        <v>32</v>
      </c>
      <c r="P161" s="1">
        <v>595000</v>
      </c>
    </row>
    <row r="162" spans="1:16" x14ac:dyDescent="0.25">
      <c r="A162" s="1">
        <v>157</v>
      </c>
      <c r="B162" s="1" t="s">
        <v>248</v>
      </c>
      <c r="C162" s="1">
        <v>8.1999999999999993</v>
      </c>
      <c r="D162" s="1">
        <f t="shared" si="2"/>
        <v>59500</v>
      </c>
      <c r="E162" s="1">
        <v>2003</v>
      </c>
      <c r="F162" s="1">
        <v>21</v>
      </c>
      <c r="G162" s="1" t="s">
        <v>249</v>
      </c>
      <c r="H162" s="1">
        <v>100</v>
      </c>
      <c r="I162" s="1" t="s">
        <v>374</v>
      </c>
      <c r="J162" s="1" t="s">
        <v>72</v>
      </c>
      <c r="P162" s="1">
        <v>277000</v>
      </c>
    </row>
    <row r="163" spans="1:16" x14ac:dyDescent="0.25">
      <c r="A163" s="1">
        <v>158</v>
      </c>
      <c r="B163" s="1" t="s">
        <v>250</v>
      </c>
      <c r="C163" s="1">
        <v>8.1999999999999993</v>
      </c>
      <c r="D163" s="1">
        <f t="shared" si="2"/>
        <v>27700</v>
      </c>
      <c r="E163" s="1">
        <v>1961</v>
      </c>
      <c r="F163" s="1">
        <v>20</v>
      </c>
      <c r="G163" s="1" t="s">
        <v>83</v>
      </c>
      <c r="H163" s="1">
        <v>110</v>
      </c>
      <c r="I163" s="1" t="s">
        <v>374</v>
      </c>
      <c r="J163" s="1" t="s">
        <v>49</v>
      </c>
      <c r="P163" s="1">
        <v>221000</v>
      </c>
    </row>
    <row r="164" spans="1:16" x14ac:dyDescent="0.25">
      <c r="A164" s="1">
        <v>159</v>
      </c>
      <c r="B164" s="1" t="s">
        <v>251</v>
      </c>
      <c r="C164" s="1">
        <v>8.1999999999999993</v>
      </c>
      <c r="D164" s="1">
        <f t="shared" si="2"/>
        <v>22100</v>
      </c>
      <c r="E164" s="1">
        <v>1963</v>
      </c>
      <c r="F164" s="1">
        <v>20</v>
      </c>
      <c r="G164" s="1" t="s">
        <v>252</v>
      </c>
      <c r="H164" s="1">
        <v>172</v>
      </c>
      <c r="I164" s="1" t="s">
        <v>375</v>
      </c>
      <c r="J164" s="1" t="s">
        <v>13</v>
      </c>
      <c r="P164" s="1">
        <v>201000</v>
      </c>
    </row>
    <row r="165" spans="1:16" x14ac:dyDescent="0.25">
      <c r="A165" s="1">
        <v>161</v>
      </c>
      <c r="B165" s="1" t="s">
        <v>255</v>
      </c>
      <c r="C165" s="1">
        <v>8.1999999999999993</v>
      </c>
      <c r="D165" s="1">
        <f t="shared" si="2"/>
        <v>20100</v>
      </c>
      <c r="E165" s="1">
        <v>1975</v>
      </c>
      <c r="F165" s="1">
        <v>20</v>
      </c>
      <c r="G165" s="1" t="s">
        <v>256</v>
      </c>
      <c r="H165" s="1">
        <v>91</v>
      </c>
      <c r="I165" s="1" t="s">
        <v>376</v>
      </c>
      <c r="J165" s="1" t="s">
        <v>32</v>
      </c>
      <c r="P165" s="1">
        <v>351000</v>
      </c>
    </row>
    <row r="166" spans="1:16" x14ac:dyDescent="0.25">
      <c r="A166" s="1">
        <v>162</v>
      </c>
      <c r="B166" s="1" t="s">
        <v>257</v>
      </c>
      <c r="C166" s="1">
        <v>8.1999999999999993</v>
      </c>
      <c r="D166" s="1">
        <f t="shared" si="2"/>
        <v>35100</v>
      </c>
      <c r="E166" s="1">
        <v>1980</v>
      </c>
      <c r="F166" s="1">
        <v>20</v>
      </c>
      <c r="G166" s="1" t="s">
        <v>31</v>
      </c>
      <c r="H166" s="1">
        <v>124</v>
      </c>
      <c r="I166" s="1" t="s">
        <v>374</v>
      </c>
      <c r="J166" s="1" t="s">
        <v>32</v>
      </c>
      <c r="P166" s="1">
        <v>237000</v>
      </c>
    </row>
    <row r="167" spans="1:16" x14ac:dyDescent="0.25">
      <c r="A167" s="1">
        <v>163</v>
      </c>
      <c r="B167" s="1" t="s">
        <v>258</v>
      </c>
      <c r="C167" s="1">
        <v>8.1999999999999993</v>
      </c>
      <c r="D167" s="1">
        <f t="shared" si="2"/>
        <v>23700</v>
      </c>
      <c r="E167" s="1">
        <v>2019</v>
      </c>
      <c r="F167" s="1">
        <v>21</v>
      </c>
      <c r="G167" s="1" t="s">
        <v>12</v>
      </c>
      <c r="H167" s="1">
        <v>96</v>
      </c>
      <c r="I167" s="1" t="s">
        <v>376</v>
      </c>
      <c r="J167" s="1" t="s">
        <v>32</v>
      </c>
      <c r="P167" s="1">
        <v>371000</v>
      </c>
    </row>
    <row r="168" spans="1:16" x14ac:dyDescent="0.25">
      <c r="A168" s="1">
        <v>164</v>
      </c>
      <c r="B168" s="1" t="s">
        <v>259</v>
      </c>
      <c r="C168" s="1">
        <v>8.1999999999999993</v>
      </c>
      <c r="D168" s="1">
        <f t="shared" si="2"/>
        <v>37100</v>
      </c>
      <c r="E168" s="1">
        <v>1954</v>
      </c>
      <c r="F168" s="1">
        <v>20</v>
      </c>
      <c r="G168" s="1" t="s">
        <v>132</v>
      </c>
      <c r="H168" s="1">
        <v>105</v>
      </c>
      <c r="I168" s="1" t="s">
        <v>374</v>
      </c>
      <c r="J168" s="1" t="s">
        <v>32</v>
      </c>
      <c r="P168" s="1">
        <v>642000</v>
      </c>
    </row>
    <row r="169" spans="1:16" x14ac:dyDescent="0.25">
      <c r="A169" s="1">
        <v>165</v>
      </c>
      <c r="B169" s="1" t="s">
        <v>260</v>
      </c>
      <c r="C169" s="1">
        <v>8.1999999999999993</v>
      </c>
      <c r="D169" s="1">
        <f t="shared" si="2"/>
        <v>64200</v>
      </c>
      <c r="E169" s="1">
        <v>1939</v>
      </c>
      <c r="F169" s="1">
        <v>20</v>
      </c>
      <c r="G169" s="1" t="s">
        <v>261</v>
      </c>
      <c r="H169" s="1">
        <v>238</v>
      </c>
      <c r="I169" s="1" t="s">
        <v>375</v>
      </c>
      <c r="J169" s="1" t="s">
        <v>72</v>
      </c>
      <c r="P169" s="1">
        <v>12000000</v>
      </c>
    </row>
    <row r="170" spans="1:16" x14ac:dyDescent="0.25">
      <c r="A170" s="1">
        <v>166</v>
      </c>
      <c r="B170" s="1" t="s">
        <v>262</v>
      </c>
      <c r="C170" s="1">
        <v>8.1999999999999993</v>
      </c>
      <c r="D170" s="1">
        <f t="shared" si="2"/>
        <v>1200000</v>
      </c>
      <c r="E170" s="1">
        <v>2009</v>
      </c>
      <c r="F170" s="1">
        <v>21</v>
      </c>
      <c r="G170" s="1" t="s">
        <v>194</v>
      </c>
      <c r="H170" s="1">
        <v>129</v>
      </c>
      <c r="I170" s="1" t="s">
        <v>374</v>
      </c>
      <c r="J170" s="1" t="s">
        <v>3</v>
      </c>
      <c r="P170" s="1">
        <v>193000</v>
      </c>
    </row>
    <row r="171" spans="1:16" x14ac:dyDescent="0.25">
      <c r="A171" s="1">
        <v>181</v>
      </c>
      <c r="B171" s="1" t="s">
        <v>279</v>
      </c>
      <c r="C171" s="1">
        <v>8.1999999999999993</v>
      </c>
      <c r="D171" s="1">
        <f t="shared" si="2"/>
        <v>19300</v>
      </c>
      <c r="E171" s="1">
        <v>2024</v>
      </c>
      <c r="F171" s="1">
        <v>21</v>
      </c>
      <c r="G171" s="1" t="s">
        <v>87</v>
      </c>
      <c r="H171" s="1">
        <v>102</v>
      </c>
      <c r="I171" s="1" t="s">
        <v>374</v>
      </c>
      <c r="J171" s="1" t="s">
        <v>32</v>
      </c>
      <c r="P171" s="1">
        <v>888000</v>
      </c>
    </row>
    <row r="172" spans="1:16" x14ac:dyDescent="0.25">
      <c r="A172" s="1">
        <v>189</v>
      </c>
      <c r="B172" s="1" t="s">
        <v>290</v>
      </c>
      <c r="C172" s="1">
        <v>8.1999999999999993</v>
      </c>
      <c r="D172" s="1">
        <f t="shared" si="2"/>
        <v>88800</v>
      </c>
      <c r="E172" s="1">
        <v>1997</v>
      </c>
      <c r="F172" s="1">
        <v>20</v>
      </c>
      <c r="G172" s="1" t="s">
        <v>209</v>
      </c>
      <c r="H172" s="1">
        <v>89</v>
      </c>
      <c r="I172" s="1" t="s">
        <v>376</v>
      </c>
      <c r="J172" s="1" t="s">
        <v>32</v>
      </c>
      <c r="P172" s="1">
        <v>47000</v>
      </c>
    </row>
    <row r="173" spans="1:16" x14ac:dyDescent="0.25">
      <c r="A173" s="1">
        <v>195</v>
      </c>
      <c r="B173" s="1" t="s">
        <v>298</v>
      </c>
      <c r="C173" s="1">
        <v>8.1999999999999993</v>
      </c>
      <c r="D173" s="1">
        <f t="shared" si="2"/>
        <v>4700</v>
      </c>
      <c r="E173" s="1">
        <v>2021</v>
      </c>
      <c r="F173" s="1">
        <v>21</v>
      </c>
      <c r="G173" s="1" t="s">
        <v>29</v>
      </c>
      <c r="H173" s="1">
        <v>148</v>
      </c>
      <c r="I173" s="1" t="s">
        <v>374</v>
      </c>
      <c r="J173" s="1" t="s">
        <v>8</v>
      </c>
      <c r="P173" s="1">
        <v>12000000</v>
      </c>
    </row>
    <row r="174" spans="1:16" x14ac:dyDescent="0.25">
      <c r="A174" s="1">
        <v>234</v>
      </c>
      <c r="B174" s="1" t="s">
        <v>343</v>
      </c>
      <c r="C174" s="1">
        <v>8.1999999999999993</v>
      </c>
      <c r="D174" s="1">
        <f t="shared" si="2"/>
        <v>1200000</v>
      </c>
      <c r="E174" s="1">
        <v>2016</v>
      </c>
      <c r="F174" s="1">
        <v>21</v>
      </c>
      <c r="G174" s="1" t="s">
        <v>44</v>
      </c>
      <c r="H174" s="1">
        <v>130</v>
      </c>
      <c r="I174" s="1" t="s">
        <v>374</v>
      </c>
      <c r="J174" s="1" t="s">
        <v>49</v>
      </c>
      <c r="P174" s="1">
        <v>593000</v>
      </c>
    </row>
    <row r="175" spans="1:16" x14ac:dyDescent="0.25">
      <c r="A175" s="1">
        <v>241</v>
      </c>
      <c r="B175" s="1" t="s">
        <v>350</v>
      </c>
      <c r="C175" s="1">
        <v>8.1999999999999993</v>
      </c>
      <c r="D175" s="1">
        <f t="shared" si="2"/>
        <v>59300</v>
      </c>
      <c r="E175" s="1">
        <v>2005</v>
      </c>
      <c r="F175" s="1">
        <v>21</v>
      </c>
      <c r="G175" s="1" t="s">
        <v>91</v>
      </c>
      <c r="H175" s="1">
        <v>112</v>
      </c>
      <c r="I175" s="1" t="s">
        <v>374</v>
      </c>
      <c r="J175" s="1" t="s">
        <v>49</v>
      </c>
      <c r="P175" s="1">
        <v>759000</v>
      </c>
    </row>
    <row r="176" spans="1:16" x14ac:dyDescent="0.25">
      <c r="A176" s="1">
        <v>245</v>
      </c>
      <c r="B176" s="1" t="s">
        <v>354</v>
      </c>
      <c r="C176" s="1">
        <v>8.1999999999999993</v>
      </c>
      <c r="D176" s="1">
        <f t="shared" si="2"/>
        <v>75900</v>
      </c>
      <c r="E176" s="1">
        <v>2020</v>
      </c>
      <c r="F176" s="1">
        <v>21</v>
      </c>
      <c r="G176" s="1" t="s">
        <v>94</v>
      </c>
      <c r="H176" s="1">
        <v>117</v>
      </c>
      <c r="I176" s="1" t="s">
        <v>374</v>
      </c>
      <c r="J176" s="1" t="s">
        <v>3</v>
      </c>
      <c r="P176" s="1">
        <v>245000</v>
      </c>
    </row>
    <row r="177" spans="1:16" x14ac:dyDescent="0.25">
      <c r="A177" s="1">
        <v>248</v>
      </c>
      <c r="B177" s="1" t="s">
        <v>357</v>
      </c>
      <c r="C177" s="1">
        <v>8.1999999999999993</v>
      </c>
      <c r="D177" s="1">
        <f t="shared" si="2"/>
        <v>24500</v>
      </c>
      <c r="E177" s="1">
        <v>2012</v>
      </c>
      <c r="F177" s="1">
        <v>21</v>
      </c>
      <c r="G177" s="1" t="s">
        <v>358</v>
      </c>
      <c r="H177" s="1">
        <v>321</v>
      </c>
      <c r="I177" s="1" t="s">
        <v>375</v>
      </c>
      <c r="J177" s="1" t="s">
        <v>49</v>
      </c>
      <c r="P177" s="1">
        <v>1000000</v>
      </c>
    </row>
    <row r="178" spans="1:16" x14ac:dyDescent="0.25">
      <c r="A178" s="1">
        <v>250</v>
      </c>
      <c r="B178" s="1" t="s">
        <v>360</v>
      </c>
      <c r="C178" s="1">
        <v>8.1999999999999993</v>
      </c>
      <c r="D178" s="1">
        <f t="shared" si="2"/>
        <v>100000</v>
      </c>
      <c r="E178" s="1">
        <v>2018</v>
      </c>
      <c r="F178" s="1">
        <v>21</v>
      </c>
      <c r="G178" s="1" t="s">
        <v>27</v>
      </c>
      <c r="H178" s="1">
        <v>139</v>
      </c>
      <c r="I178" s="1" t="s">
        <v>374</v>
      </c>
      <c r="J178" s="1" t="s">
        <v>49</v>
      </c>
      <c r="P178" s="1">
        <v>402000</v>
      </c>
    </row>
    <row r="179" spans="1:16" x14ac:dyDescent="0.25">
      <c r="A179" s="1">
        <v>167</v>
      </c>
      <c r="B179" s="1" t="s">
        <v>263</v>
      </c>
      <c r="C179" s="1">
        <v>8.1</v>
      </c>
      <c r="D179" s="1">
        <f t="shared" si="2"/>
        <v>40200</v>
      </c>
      <c r="E179" s="1">
        <v>1974</v>
      </c>
      <c r="F179" s="1">
        <v>20</v>
      </c>
      <c r="G179" s="1" t="s">
        <v>44</v>
      </c>
      <c r="H179" s="1">
        <v>130</v>
      </c>
      <c r="I179" s="1" t="s">
        <v>374</v>
      </c>
      <c r="J179" s="1" t="s">
        <v>3</v>
      </c>
      <c r="P179" s="1">
        <v>767000</v>
      </c>
    </row>
    <row r="180" spans="1:16" x14ac:dyDescent="0.25">
      <c r="A180" s="1">
        <v>168</v>
      </c>
      <c r="B180" s="1" t="s">
        <v>264</v>
      </c>
      <c r="C180" s="1">
        <v>8.1</v>
      </c>
      <c r="D180" s="1">
        <f t="shared" si="2"/>
        <v>76700</v>
      </c>
      <c r="E180" s="1">
        <v>1998</v>
      </c>
      <c r="F180" s="1">
        <v>20</v>
      </c>
      <c r="G180" s="1" t="s">
        <v>179</v>
      </c>
      <c r="H180" s="1">
        <v>107</v>
      </c>
      <c r="I180" s="1" t="s">
        <v>374</v>
      </c>
      <c r="J180" s="1" t="s">
        <v>3</v>
      </c>
      <c r="P180" s="1">
        <v>521000</v>
      </c>
    </row>
    <row r="181" spans="1:16" x14ac:dyDescent="0.25">
      <c r="A181" s="1">
        <v>169</v>
      </c>
      <c r="B181" s="1" t="s">
        <v>265</v>
      </c>
      <c r="C181" s="1">
        <v>8.1</v>
      </c>
      <c r="D181" s="1">
        <f t="shared" si="2"/>
        <v>52100</v>
      </c>
      <c r="E181" s="1">
        <v>2005</v>
      </c>
      <c r="F181" s="1">
        <v>21</v>
      </c>
      <c r="G181" s="1" t="s">
        <v>67</v>
      </c>
      <c r="H181" s="1">
        <v>132</v>
      </c>
      <c r="I181" s="1" t="s">
        <v>374</v>
      </c>
      <c r="J181" s="1" t="s">
        <v>3</v>
      </c>
      <c r="P181" s="1">
        <v>201000</v>
      </c>
    </row>
    <row r="182" spans="1:16" x14ac:dyDescent="0.25">
      <c r="A182" s="1">
        <v>170</v>
      </c>
      <c r="B182" s="1" t="s">
        <v>266</v>
      </c>
      <c r="C182" s="1">
        <v>8.1</v>
      </c>
      <c r="D182" s="1">
        <f t="shared" si="2"/>
        <v>20100</v>
      </c>
      <c r="E182" s="1">
        <v>1950</v>
      </c>
      <c r="F182" s="1">
        <v>20</v>
      </c>
      <c r="G182" s="1" t="s">
        <v>71</v>
      </c>
      <c r="H182" s="1">
        <v>88</v>
      </c>
      <c r="I182" s="1" t="s">
        <v>376</v>
      </c>
      <c r="J182" s="1" t="s">
        <v>49</v>
      </c>
      <c r="P182" s="1">
        <v>618000</v>
      </c>
    </row>
    <row r="183" spans="1:16" x14ac:dyDescent="0.25">
      <c r="A183" s="1">
        <v>171</v>
      </c>
      <c r="B183" s="1" t="s">
        <v>267</v>
      </c>
      <c r="C183" s="1">
        <v>8.1</v>
      </c>
      <c r="D183" s="1">
        <f t="shared" si="2"/>
        <v>61800</v>
      </c>
      <c r="E183" s="1">
        <v>2015</v>
      </c>
      <c r="F183" s="1">
        <v>21</v>
      </c>
      <c r="G183" s="1" t="s">
        <v>144</v>
      </c>
      <c r="H183" s="1">
        <v>95</v>
      </c>
      <c r="I183" s="1" t="s">
        <v>376</v>
      </c>
      <c r="J183" s="1" t="s">
        <v>32</v>
      </c>
      <c r="P183" s="1">
        <v>755000</v>
      </c>
    </row>
    <row r="184" spans="1:16" x14ac:dyDescent="0.25">
      <c r="A184" s="1">
        <v>173</v>
      </c>
      <c r="B184" s="1" t="s">
        <v>269</v>
      </c>
      <c r="C184" s="1">
        <v>8.1</v>
      </c>
      <c r="D184" s="1">
        <f t="shared" si="2"/>
        <v>75500</v>
      </c>
      <c r="E184" s="1">
        <v>2002</v>
      </c>
      <c r="F184" s="1">
        <v>21</v>
      </c>
      <c r="G184" s="1" t="s">
        <v>270</v>
      </c>
      <c r="H184" s="1">
        <v>141</v>
      </c>
      <c r="I184" s="1" t="s">
        <v>374</v>
      </c>
      <c r="J184" s="1" t="s">
        <v>8</v>
      </c>
      <c r="P184" s="1">
        <v>267000</v>
      </c>
    </row>
    <row r="185" spans="1:16" x14ac:dyDescent="0.25">
      <c r="A185" s="1">
        <v>174</v>
      </c>
      <c r="B185" s="1" t="s">
        <v>271</v>
      </c>
      <c r="C185" s="1">
        <v>8.1</v>
      </c>
      <c r="D185" s="1">
        <f t="shared" si="2"/>
        <v>26700</v>
      </c>
      <c r="E185" s="1">
        <v>2017</v>
      </c>
      <c r="F185" s="1">
        <v>21</v>
      </c>
      <c r="G185" s="1" t="s">
        <v>111</v>
      </c>
      <c r="H185" s="1">
        <v>115</v>
      </c>
      <c r="I185" s="1" t="s">
        <v>374</v>
      </c>
      <c r="J185" s="1" t="s">
        <v>3</v>
      </c>
      <c r="P185" s="1">
        <v>12000000</v>
      </c>
    </row>
    <row r="186" spans="1:16" x14ac:dyDescent="0.25">
      <c r="A186" s="1">
        <v>175</v>
      </c>
      <c r="B186" s="1" t="s">
        <v>272</v>
      </c>
      <c r="C186" s="1">
        <v>8.1</v>
      </c>
      <c r="D186" s="1">
        <f t="shared" si="2"/>
        <v>1200000</v>
      </c>
      <c r="E186" s="1">
        <v>1996</v>
      </c>
      <c r="F186" s="1">
        <v>20</v>
      </c>
      <c r="G186" s="1" t="s">
        <v>273</v>
      </c>
      <c r="H186" s="1">
        <v>93</v>
      </c>
      <c r="I186" s="1" t="s">
        <v>376</v>
      </c>
      <c r="J186" s="1" t="s">
        <v>3</v>
      </c>
      <c r="P186" s="1">
        <v>198000</v>
      </c>
    </row>
    <row r="187" spans="1:16" x14ac:dyDescent="0.25">
      <c r="A187" s="1">
        <v>176</v>
      </c>
      <c r="B187" s="1" t="s">
        <v>274</v>
      </c>
      <c r="C187" s="1">
        <v>8.1</v>
      </c>
      <c r="D187" s="1">
        <f t="shared" si="2"/>
        <v>19800</v>
      </c>
      <c r="E187" s="1">
        <v>1957</v>
      </c>
      <c r="F187" s="1">
        <v>20</v>
      </c>
      <c r="G187" s="1" t="s">
        <v>211</v>
      </c>
      <c r="H187" s="1">
        <v>161</v>
      </c>
      <c r="I187" s="1" t="s">
        <v>375</v>
      </c>
      <c r="J187" s="1" t="s">
        <v>32</v>
      </c>
      <c r="P187" s="1">
        <v>850000</v>
      </c>
    </row>
    <row r="188" spans="1:16" x14ac:dyDescent="0.25">
      <c r="A188" s="1">
        <v>177</v>
      </c>
      <c r="B188" s="1" t="s">
        <v>275</v>
      </c>
      <c r="C188" s="1">
        <v>8.1</v>
      </c>
      <c r="D188" s="1">
        <f t="shared" si="2"/>
        <v>85000</v>
      </c>
      <c r="E188" s="1">
        <v>2011</v>
      </c>
      <c r="F188" s="1">
        <v>21</v>
      </c>
      <c r="G188" s="1" t="s">
        <v>44</v>
      </c>
      <c r="H188" s="1">
        <v>130</v>
      </c>
      <c r="I188" s="1" t="s">
        <v>374</v>
      </c>
      <c r="J188" s="1" t="s">
        <v>8</v>
      </c>
      <c r="P188" s="1">
        <v>419000</v>
      </c>
    </row>
    <row r="189" spans="1:16" x14ac:dyDescent="0.25">
      <c r="A189" s="1">
        <v>178</v>
      </c>
      <c r="B189" s="1" t="s">
        <v>276</v>
      </c>
      <c r="C189" s="1">
        <v>8.1</v>
      </c>
      <c r="D189" s="1">
        <f t="shared" si="2"/>
        <v>41900</v>
      </c>
      <c r="E189" s="1">
        <v>1980</v>
      </c>
      <c r="F189" s="1">
        <v>20</v>
      </c>
      <c r="G189" s="1" t="s">
        <v>194</v>
      </c>
      <c r="H189" s="1">
        <v>129</v>
      </c>
      <c r="I189" s="1" t="s">
        <v>374</v>
      </c>
      <c r="J189" s="1" t="s">
        <v>3</v>
      </c>
      <c r="P189" s="1">
        <v>88000</v>
      </c>
    </row>
    <row r="190" spans="1:16" x14ac:dyDescent="0.25">
      <c r="A190" s="1">
        <v>179</v>
      </c>
      <c r="B190" s="1" t="s">
        <v>277</v>
      </c>
      <c r="C190" s="1">
        <v>8.1</v>
      </c>
      <c r="D190" s="1">
        <f t="shared" si="2"/>
        <v>8800</v>
      </c>
      <c r="E190" s="1">
        <v>1996</v>
      </c>
      <c r="F190" s="1">
        <v>20</v>
      </c>
      <c r="G190" s="1" t="s">
        <v>106</v>
      </c>
      <c r="H190" s="1">
        <v>98</v>
      </c>
      <c r="I190" s="1" t="s">
        <v>376</v>
      </c>
      <c r="J190" s="1" t="s">
        <v>3</v>
      </c>
      <c r="P190" s="1">
        <v>657000</v>
      </c>
    </row>
    <row r="191" spans="1:16" x14ac:dyDescent="0.25">
      <c r="A191" s="1">
        <v>180</v>
      </c>
      <c r="B191" s="1" t="s">
        <v>278</v>
      </c>
      <c r="C191" s="1">
        <v>8.1</v>
      </c>
      <c r="D191" s="1">
        <f t="shared" si="2"/>
        <v>65700</v>
      </c>
      <c r="E191" s="1">
        <v>2011</v>
      </c>
      <c r="F191" s="1">
        <v>21</v>
      </c>
      <c r="G191" s="1" t="s">
        <v>85</v>
      </c>
      <c r="H191" s="1">
        <v>140</v>
      </c>
      <c r="I191" s="1" t="s">
        <v>374</v>
      </c>
      <c r="J191" s="1" t="s">
        <v>8</v>
      </c>
      <c r="P191" s="1">
        <v>945000</v>
      </c>
    </row>
    <row r="192" spans="1:16" x14ac:dyDescent="0.25">
      <c r="A192" s="1">
        <v>182</v>
      </c>
      <c r="B192" s="1" t="s">
        <v>280</v>
      </c>
      <c r="C192" s="1">
        <v>8.1</v>
      </c>
      <c r="D192" s="1">
        <f t="shared" si="2"/>
        <v>94500</v>
      </c>
      <c r="E192" s="1">
        <v>1989</v>
      </c>
      <c r="F192" s="1">
        <v>20</v>
      </c>
      <c r="G192" s="1" t="s">
        <v>187</v>
      </c>
      <c r="H192" s="1">
        <v>128</v>
      </c>
      <c r="I192" s="1" t="s">
        <v>374</v>
      </c>
      <c r="J192" s="1" t="s">
        <v>32</v>
      </c>
      <c r="P192" s="1">
        <v>774000</v>
      </c>
    </row>
    <row r="193" spans="1:16" x14ac:dyDescent="0.25">
      <c r="A193" s="1">
        <v>183</v>
      </c>
      <c r="B193" s="1" t="s">
        <v>281</v>
      </c>
      <c r="C193" s="1">
        <v>8.1</v>
      </c>
      <c r="D193" s="1">
        <f t="shared" si="2"/>
        <v>77400</v>
      </c>
      <c r="E193" s="1">
        <v>2004</v>
      </c>
      <c r="F193" s="1">
        <v>21</v>
      </c>
      <c r="G193" s="1" t="s">
        <v>67</v>
      </c>
      <c r="H193" s="1">
        <v>132</v>
      </c>
      <c r="I193" s="1" t="s">
        <v>374</v>
      </c>
      <c r="J193" s="1" t="s">
        <v>8</v>
      </c>
      <c r="P193" s="1">
        <v>367000</v>
      </c>
    </row>
    <row r="194" spans="1:16" x14ac:dyDescent="0.25">
      <c r="A194" s="1">
        <v>184</v>
      </c>
      <c r="B194" s="1" t="s">
        <v>282</v>
      </c>
      <c r="C194" s="1">
        <v>8.1</v>
      </c>
      <c r="D194" s="1">
        <f t="shared" ref="D194:D251" si="3">P193/10</f>
        <v>36700</v>
      </c>
      <c r="E194" s="1">
        <v>1959</v>
      </c>
      <c r="F194" s="1">
        <v>20</v>
      </c>
      <c r="G194" s="1" t="s">
        <v>283</v>
      </c>
      <c r="H194" s="1">
        <v>212</v>
      </c>
      <c r="I194" s="1" t="s">
        <v>375</v>
      </c>
      <c r="J194" s="1" t="s">
        <v>72</v>
      </c>
      <c r="P194" s="1">
        <v>867000</v>
      </c>
    </row>
    <row r="195" spans="1:16" x14ac:dyDescent="0.25">
      <c r="A195" s="1">
        <v>185</v>
      </c>
      <c r="B195" s="1" t="s">
        <v>284</v>
      </c>
      <c r="C195" s="1">
        <v>8.1</v>
      </c>
      <c r="D195" s="1">
        <f t="shared" si="3"/>
        <v>86700</v>
      </c>
      <c r="E195" s="1">
        <v>2015</v>
      </c>
      <c r="F195" s="1">
        <v>21</v>
      </c>
      <c r="G195" s="1" t="s">
        <v>142</v>
      </c>
      <c r="H195" s="1">
        <v>122</v>
      </c>
      <c r="I195" s="1" t="s">
        <v>374</v>
      </c>
      <c r="J195" s="1" t="s">
        <v>3</v>
      </c>
      <c r="P195" s="1">
        <v>983000</v>
      </c>
    </row>
    <row r="196" spans="1:16" x14ac:dyDescent="0.25">
      <c r="A196" s="1">
        <v>186</v>
      </c>
      <c r="B196" s="1" t="s">
        <v>285</v>
      </c>
      <c r="C196" s="1">
        <v>8.1</v>
      </c>
      <c r="D196" s="1">
        <f t="shared" si="3"/>
        <v>98300</v>
      </c>
      <c r="E196" s="1">
        <v>1975</v>
      </c>
      <c r="F196" s="1">
        <v>20</v>
      </c>
      <c r="G196" s="1" t="s">
        <v>286</v>
      </c>
      <c r="H196" s="1">
        <v>185</v>
      </c>
      <c r="I196" s="1" t="s">
        <v>375</v>
      </c>
      <c r="J196" s="1" t="s">
        <v>32</v>
      </c>
      <c r="P196" s="1">
        <v>254000</v>
      </c>
    </row>
    <row r="197" spans="1:16" x14ac:dyDescent="0.25">
      <c r="A197" s="1">
        <v>187</v>
      </c>
      <c r="B197" s="1" t="s">
        <v>287</v>
      </c>
      <c r="C197" s="1">
        <v>8.1</v>
      </c>
      <c r="D197" s="1">
        <f t="shared" si="3"/>
        <v>25400</v>
      </c>
      <c r="E197" s="1">
        <v>2008</v>
      </c>
      <c r="F197" s="1">
        <v>21</v>
      </c>
      <c r="G197" s="1" t="s">
        <v>55</v>
      </c>
      <c r="H197" s="1">
        <v>116</v>
      </c>
      <c r="I197" s="1" t="s">
        <v>374</v>
      </c>
      <c r="J197" s="1" t="s">
        <v>3</v>
      </c>
      <c r="P197" s="1">
        <v>912000</v>
      </c>
    </row>
    <row r="198" spans="1:16" x14ac:dyDescent="0.25">
      <c r="A198" s="1">
        <v>188</v>
      </c>
      <c r="B198" s="1" t="s">
        <v>288</v>
      </c>
      <c r="C198" s="1">
        <v>8.1</v>
      </c>
      <c r="D198" s="1">
        <f t="shared" si="3"/>
        <v>91200</v>
      </c>
      <c r="E198" s="1">
        <v>1988</v>
      </c>
      <c r="F198" s="1">
        <v>20</v>
      </c>
      <c r="G198" s="1" t="s">
        <v>289</v>
      </c>
      <c r="H198" s="1">
        <v>86</v>
      </c>
      <c r="I198" s="1" t="s">
        <v>376</v>
      </c>
      <c r="J198" s="1" t="s">
        <v>72</v>
      </c>
      <c r="P198" s="1">
        <v>11000000</v>
      </c>
    </row>
    <row r="199" spans="1:16" x14ac:dyDescent="0.25">
      <c r="A199" s="1">
        <v>190</v>
      </c>
      <c r="B199" s="1" t="s">
        <v>291</v>
      </c>
      <c r="C199" s="1">
        <v>8.1</v>
      </c>
      <c r="D199" s="1">
        <f t="shared" si="3"/>
        <v>1100000</v>
      </c>
      <c r="E199" s="1">
        <v>2016</v>
      </c>
      <c r="F199" s="1">
        <v>21</v>
      </c>
      <c r="G199" s="1" t="s">
        <v>27</v>
      </c>
      <c r="H199" s="1">
        <v>139</v>
      </c>
      <c r="I199" s="1" t="s">
        <v>374</v>
      </c>
      <c r="J199" s="1" t="s">
        <v>3</v>
      </c>
      <c r="P199" s="1">
        <v>870000</v>
      </c>
    </row>
    <row r="200" spans="1:16" x14ac:dyDescent="0.25">
      <c r="A200" s="1">
        <v>191</v>
      </c>
      <c r="B200" s="1" t="s">
        <v>292</v>
      </c>
      <c r="C200" s="1">
        <v>8.1</v>
      </c>
      <c r="D200" s="1">
        <f t="shared" si="3"/>
        <v>87000</v>
      </c>
      <c r="E200" s="1">
        <v>2014</v>
      </c>
      <c r="F200" s="1">
        <v>21</v>
      </c>
      <c r="G200" s="1" t="s">
        <v>175</v>
      </c>
      <c r="H200" s="1">
        <v>99</v>
      </c>
      <c r="I200" s="1" t="s">
        <v>376</v>
      </c>
      <c r="J200" s="1" t="s">
        <v>3</v>
      </c>
      <c r="P200" s="1">
        <v>1000000</v>
      </c>
    </row>
    <row r="201" spans="1:16" x14ac:dyDescent="0.25">
      <c r="A201" s="1">
        <v>192</v>
      </c>
      <c r="B201" s="1" t="s">
        <v>293</v>
      </c>
      <c r="C201" s="1">
        <v>8.1</v>
      </c>
      <c r="D201" s="1">
        <f t="shared" si="3"/>
        <v>100000</v>
      </c>
      <c r="E201" s="1">
        <v>2013</v>
      </c>
      <c r="F201" s="1">
        <v>21</v>
      </c>
      <c r="G201" s="1" t="s">
        <v>294</v>
      </c>
      <c r="H201" s="1">
        <v>134</v>
      </c>
      <c r="I201" s="1" t="s">
        <v>374</v>
      </c>
      <c r="J201" s="1" t="s">
        <v>3</v>
      </c>
      <c r="P201" s="1">
        <v>720000</v>
      </c>
    </row>
    <row r="202" spans="1:16" x14ac:dyDescent="0.25">
      <c r="A202" s="1">
        <v>193</v>
      </c>
      <c r="B202" s="1" t="s">
        <v>295</v>
      </c>
      <c r="C202" s="1">
        <v>8.1</v>
      </c>
      <c r="D202" s="1">
        <f t="shared" si="3"/>
        <v>72000</v>
      </c>
      <c r="E202" s="1">
        <v>1995</v>
      </c>
      <c r="F202" s="1">
        <v>20</v>
      </c>
      <c r="G202" s="1" t="s">
        <v>296</v>
      </c>
      <c r="H202" s="1">
        <v>101</v>
      </c>
      <c r="I202" s="1" t="s">
        <v>374</v>
      </c>
      <c r="J202" s="1" t="s">
        <v>3</v>
      </c>
      <c r="P202" s="1">
        <v>199000</v>
      </c>
    </row>
    <row r="203" spans="1:16" x14ac:dyDescent="0.25">
      <c r="A203" s="1">
        <v>194</v>
      </c>
      <c r="B203" s="1" t="s">
        <v>297</v>
      </c>
      <c r="C203" s="1">
        <v>8.1</v>
      </c>
      <c r="D203" s="1">
        <f t="shared" si="3"/>
        <v>19900</v>
      </c>
      <c r="E203" s="1">
        <v>1982</v>
      </c>
      <c r="F203" s="1">
        <v>20</v>
      </c>
      <c r="G203" s="1" t="s">
        <v>94</v>
      </c>
      <c r="H203" s="1">
        <v>117</v>
      </c>
      <c r="I203" s="1" t="s">
        <v>374</v>
      </c>
      <c r="J203" s="1" t="s">
        <v>3</v>
      </c>
      <c r="P203" s="1">
        <v>546000</v>
      </c>
    </row>
    <row r="204" spans="1:16" x14ac:dyDescent="0.25">
      <c r="A204" s="1">
        <v>196</v>
      </c>
      <c r="B204" s="1" t="s">
        <v>299</v>
      </c>
      <c r="C204" s="1">
        <v>8.1</v>
      </c>
      <c r="D204" s="1">
        <f t="shared" si="3"/>
        <v>54600</v>
      </c>
      <c r="E204" s="1">
        <v>2003</v>
      </c>
      <c r="F204" s="1">
        <v>21</v>
      </c>
      <c r="G204" s="1" t="s">
        <v>67</v>
      </c>
      <c r="H204" s="1">
        <v>132</v>
      </c>
      <c r="I204" s="1" t="s">
        <v>374</v>
      </c>
      <c r="J204" s="1" t="s">
        <v>49</v>
      </c>
      <c r="P204" s="1">
        <v>233000</v>
      </c>
    </row>
    <row r="205" spans="1:16" x14ac:dyDescent="0.25">
      <c r="A205" s="1">
        <v>197</v>
      </c>
      <c r="B205" s="1" t="s">
        <v>300</v>
      </c>
      <c r="C205" s="1">
        <v>8.1</v>
      </c>
      <c r="D205" s="1">
        <f t="shared" si="3"/>
        <v>23300</v>
      </c>
      <c r="E205" s="1">
        <v>2007</v>
      </c>
      <c r="F205" s="1">
        <v>21</v>
      </c>
      <c r="G205" s="1" t="s">
        <v>242</v>
      </c>
      <c r="H205" s="1">
        <v>111</v>
      </c>
      <c r="I205" s="1" t="s">
        <v>374</v>
      </c>
      <c r="J205" s="1" t="s">
        <v>72</v>
      </c>
      <c r="P205" s="1">
        <v>126000</v>
      </c>
    </row>
    <row r="206" spans="1:16" x14ac:dyDescent="0.25">
      <c r="A206" s="1">
        <v>198</v>
      </c>
      <c r="B206" s="1" t="s">
        <v>301</v>
      </c>
      <c r="C206" s="1">
        <v>8.1</v>
      </c>
      <c r="D206" s="1">
        <f t="shared" si="3"/>
        <v>12600</v>
      </c>
      <c r="E206" s="1">
        <v>2014</v>
      </c>
      <c r="F206" s="1">
        <v>21</v>
      </c>
      <c r="G206" s="1" t="s">
        <v>113</v>
      </c>
      <c r="H206" s="1">
        <v>149</v>
      </c>
      <c r="I206" s="1" t="s">
        <v>374</v>
      </c>
      <c r="J206" s="1" t="s">
        <v>3</v>
      </c>
      <c r="P206" s="1">
        <v>64000</v>
      </c>
    </row>
    <row r="207" spans="1:16" x14ac:dyDescent="0.25">
      <c r="A207" s="1">
        <v>199</v>
      </c>
      <c r="B207" s="1" t="s">
        <v>302</v>
      </c>
      <c r="C207" s="1">
        <v>8.1</v>
      </c>
      <c r="D207" s="1">
        <f t="shared" si="3"/>
        <v>6400</v>
      </c>
      <c r="E207" s="1">
        <v>2010</v>
      </c>
      <c r="F207" s="1">
        <v>21</v>
      </c>
      <c r="G207" s="1" t="s">
        <v>106</v>
      </c>
      <c r="H207" s="1">
        <v>98</v>
      </c>
      <c r="I207" s="1" t="s">
        <v>376</v>
      </c>
      <c r="J207" s="1" t="s">
        <v>32</v>
      </c>
      <c r="P207" s="1">
        <v>199000</v>
      </c>
    </row>
    <row r="208" spans="1:16" x14ac:dyDescent="0.25">
      <c r="A208" s="1">
        <v>200</v>
      </c>
      <c r="B208" s="1" t="s">
        <v>303</v>
      </c>
      <c r="C208" s="1">
        <v>8.1</v>
      </c>
      <c r="D208" s="1">
        <f t="shared" si="3"/>
        <v>19900</v>
      </c>
      <c r="E208" s="1">
        <v>2001</v>
      </c>
      <c r="F208" s="1">
        <v>21</v>
      </c>
      <c r="G208" s="1" t="s">
        <v>304</v>
      </c>
      <c r="H208" s="1">
        <v>92</v>
      </c>
      <c r="I208" s="1" t="s">
        <v>376</v>
      </c>
      <c r="J208" s="1" t="s">
        <v>72</v>
      </c>
      <c r="P208" s="1">
        <v>381000</v>
      </c>
    </row>
    <row r="209" spans="1:16" x14ac:dyDescent="0.25">
      <c r="A209" s="1">
        <v>201</v>
      </c>
      <c r="B209" s="1" t="s">
        <v>305</v>
      </c>
      <c r="C209" s="1">
        <v>8.1</v>
      </c>
      <c r="D209" s="1">
        <f t="shared" si="3"/>
        <v>38100</v>
      </c>
      <c r="E209" s="1">
        <v>1975</v>
      </c>
      <c r="F209" s="1">
        <v>20</v>
      </c>
      <c r="G209" s="1" t="s">
        <v>31</v>
      </c>
      <c r="H209" s="1">
        <v>124</v>
      </c>
      <c r="I209" s="1" t="s">
        <v>374</v>
      </c>
      <c r="J209" s="1" t="s">
        <v>32</v>
      </c>
      <c r="P209" s="1">
        <v>72000</v>
      </c>
    </row>
    <row r="210" spans="1:16" x14ac:dyDescent="0.25">
      <c r="A210" s="1">
        <v>202</v>
      </c>
      <c r="B210" s="1" t="s">
        <v>306</v>
      </c>
      <c r="C210" s="1">
        <v>8.1</v>
      </c>
      <c r="D210" s="1">
        <f t="shared" si="3"/>
        <v>7200</v>
      </c>
      <c r="E210" s="1">
        <v>1993</v>
      </c>
      <c r="F210" s="1">
        <v>20</v>
      </c>
      <c r="G210" s="1" t="s">
        <v>40</v>
      </c>
      <c r="H210" s="1">
        <v>133</v>
      </c>
      <c r="I210" s="1" t="s">
        <v>374</v>
      </c>
      <c r="J210" s="1" t="s">
        <v>3</v>
      </c>
      <c r="P210" s="1">
        <v>104000</v>
      </c>
    </row>
    <row r="211" spans="1:16" x14ac:dyDescent="0.25">
      <c r="A211" s="1">
        <v>203</v>
      </c>
      <c r="B211" s="1" t="s">
        <v>307</v>
      </c>
      <c r="C211" s="1">
        <v>8.1</v>
      </c>
      <c r="D211" s="1">
        <f t="shared" si="3"/>
        <v>10400</v>
      </c>
      <c r="E211" s="1">
        <v>2019</v>
      </c>
      <c r="F211" s="1">
        <v>21</v>
      </c>
      <c r="G211" s="1" t="s">
        <v>7</v>
      </c>
      <c r="H211" s="1">
        <v>152</v>
      </c>
      <c r="I211" s="1" t="s">
        <v>375</v>
      </c>
      <c r="J211" s="1" t="s">
        <v>8</v>
      </c>
      <c r="P211" s="1">
        <v>128000</v>
      </c>
    </row>
    <row r="212" spans="1:16" x14ac:dyDescent="0.25">
      <c r="A212" s="1">
        <v>204</v>
      </c>
      <c r="B212" s="1" t="s">
        <v>308</v>
      </c>
      <c r="C212" s="1">
        <v>8.1</v>
      </c>
      <c r="D212" s="1">
        <f t="shared" si="3"/>
        <v>12800</v>
      </c>
      <c r="E212" s="1">
        <v>2014</v>
      </c>
      <c r="F212" s="1">
        <v>21</v>
      </c>
      <c r="G212" s="1" t="s">
        <v>150</v>
      </c>
      <c r="H212" s="1">
        <v>122</v>
      </c>
      <c r="I212" s="1" t="s">
        <v>374</v>
      </c>
      <c r="J212" s="1" t="s">
        <v>3</v>
      </c>
      <c r="P212" s="1">
        <v>907000</v>
      </c>
    </row>
    <row r="213" spans="1:16" x14ac:dyDescent="0.25">
      <c r="A213" s="1">
        <v>205</v>
      </c>
      <c r="B213" s="1" t="s">
        <v>309</v>
      </c>
      <c r="C213" s="1">
        <v>8.1</v>
      </c>
      <c r="D213" s="1">
        <f t="shared" si="3"/>
        <v>90700</v>
      </c>
      <c r="E213" s="1">
        <v>1925</v>
      </c>
      <c r="F213" s="1">
        <v>20</v>
      </c>
      <c r="G213" s="1" t="s">
        <v>144</v>
      </c>
      <c r="H213" s="1">
        <v>95</v>
      </c>
      <c r="I213" s="1" t="s">
        <v>376</v>
      </c>
      <c r="J213" s="1" t="s">
        <v>13</v>
      </c>
      <c r="P213" s="1">
        <v>175000</v>
      </c>
    </row>
    <row r="214" spans="1:16" x14ac:dyDescent="0.25">
      <c r="A214" s="1">
        <v>206</v>
      </c>
      <c r="B214" s="1" t="s">
        <v>310</v>
      </c>
      <c r="C214" s="1">
        <v>8.1</v>
      </c>
      <c r="D214" s="1">
        <f t="shared" si="3"/>
        <v>17500</v>
      </c>
      <c r="E214" s="1">
        <v>1924</v>
      </c>
      <c r="F214" s="1">
        <v>20</v>
      </c>
      <c r="G214" s="1" t="s">
        <v>311</v>
      </c>
      <c r="H214" s="1">
        <v>45</v>
      </c>
      <c r="I214" s="1" t="s">
        <v>376</v>
      </c>
      <c r="J214" s="1" t="s">
        <v>183</v>
      </c>
      <c r="P214" s="1">
        <v>673000</v>
      </c>
    </row>
    <row r="215" spans="1:16" x14ac:dyDescent="0.25">
      <c r="A215" s="1">
        <v>207</v>
      </c>
      <c r="B215" s="1" t="s">
        <v>312</v>
      </c>
      <c r="C215" s="1">
        <v>8.1</v>
      </c>
      <c r="D215" s="1">
        <f t="shared" si="3"/>
        <v>67300</v>
      </c>
      <c r="E215" s="1">
        <v>2009</v>
      </c>
      <c r="F215" s="1">
        <v>21</v>
      </c>
      <c r="G215" s="1" t="s">
        <v>304</v>
      </c>
      <c r="H215" s="1">
        <v>92</v>
      </c>
      <c r="I215" s="1" t="s">
        <v>376</v>
      </c>
      <c r="J215" s="1" t="s">
        <v>49</v>
      </c>
      <c r="P215" s="1">
        <v>122000</v>
      </c>
    </row>
    <row r="216" spans="1:16" x14ac:dyDescent="0.25">
      <c r="A216" s="1">
        <v>208</v>
      </c>
      <c r="B216" s="1" t="s">
        <v>313</v>
      </c>
      <c r="C216" s="1">
        <v>8.1</v>
      </c>
      <c r="D216" s="1">
        <f t="shared" si="3"/>
        <v>12200</v>
      </c>
      <c r="E216" s="1">
        <v>1978</v>
      </c>
      <c r="F216" s="1">
        <v>20</v>
      </c>
      <c r="G216" s="1" t="s">
        <v>314</v>
      </c>
      <c r="H216" s="1">
        <v>183</v>
      </c>
      <c r="I216" s="1" t="s">
        <v>375</v>
      </c>
      <c r="J216" s="1" t="s">
        <v>3</v>
      </c>
      <c r="P216" s="1">
        <v>76000</v>
      </c>
    </row>
    <row r="217" spans="1:16" x14ac:dyDescent="0.25">
      <c r="A217" s="1">
        <v>209</v>
      </c>
      <c r="B217" s="1" t="s">
        <v>315</v>
      </c>
      <c r="C217" s="1">
        <v>8.1</v>
      </c>
      <c r="D217" s="1">
        <f t="shared" si="3"/>
        <v>7600</v>
      </c>
      <c r="E217" s="1">
        <v>1953</v>
      </c>
      <c r="F217" s="1">
        <v>20</v>
      </c>
      <c r="G217" s="1" t="s">
        <v>207</v>
      </c>
      <c r="H217" s="1">
        <v>156</v>
      </c>
      <c r="I217" s="1" t="s">
        <v>375</v>
      </c>
      <c r="J217" s="1" t="s">
        <v>49</v>
      </c>
      <c r="P217" s="1">
        <v>192000</v>
      </c>
    </row>
    <row r="218" spans="1:16" x14ac:dyDescent="0.25">
      <c r="A218" s="1">
        <v>210</v>
      </c>
      <c r="B218" s="1" t="s">
        <v>316</v>
      </c>
      <c r="C218" s="1">
        <v>8.1</v>
      </c>
      <c r="D218" s="1">
        <f t="shared" si="3"/>
        <v>19200</v>
      </c>
      <c r="E218" s="1">
        <v>1926</v>
      </c>
      <c r="F218" s="1">
        <v>20</v>
      </c>
      <c r="G218" s="1" t="s">
        <v>317</v>
      </c>
      <c r="H218" s="1">
        <v>78</v>
      </c>
      <c r="I218" s="1" t="s">
        <v>376</v>
      </c>
      <c r="J218" s="1" t="s">
        <v>183</v>
      </c>
      <c r="P218" s="1">
        <v>13000000</v>
      </c>
    </row>
    <row r="219" spans="1:16" x14ac:dyDescent="0.25">
      <c r="A219" s="1">
        <v>211</v>
      </c>
      <c r="B219" s="1" t="s">
        <v>318</v>
      </c>
      <c r="C219" s="1">
        <v>8.1</v>
      </c>
      <c r="D219" s="1">
        <f t="shared" si="3"/>
        <v>1300000</v>
      </c>
      <c r="E219" s="1">
        <v>1939</v>
      </c>
      <c r="F219" s="1">
        <v>20</v>
      </c>
      <c r="G219" s="1" t="s">
        <v>194</v>
      </c>
      <c r="H219" s="1">
        <v>129</v>
      </c>
      <c r="I219" s="1" t="s">
        <v>374</v>
      </c>
      <c r="J219" s="1" t="s">
        <v>13</v>
      </c>
      <c r="P219" s="1">
        <v>526000</v>
      </c>
    </row>
    <row r="220" spans="1:16" x14ac:dyDescent="0.25">
      <c r="A220" s="1">
        <v>212</v>
      </c>
      <c r="B220" s="1" t="s">
        <v>319</v>
      </c>
      <c r="C220" s="1">
        <v>8.1</v>
      </c>
      <c r="D220" s="1">
        <f t="shared" si="3"/>
        <v>52600</v>
      </c>
      <c r="E220" s="1">
        <v>2017</v>
      </c>
      <c r="F220" s="1">
        <v>21</v>
      </c>
      <c r="G220" s="1" t="s">
        <v>57</v>
      </c>
      <c r="H220" s="1">
        <v>137</v>
      </c>
      <c r="I220" s="1" t="s">
        <v>374</v>
      </c>
      <c r="J220" s="1" t="s">
        <v>3</v>
      </c>
      <c r="P220" s="1">
        <v>75000</v>
      </c>
    </row>
    <row r="221" spans="1:16" x14ac:dyDescent="0.25">
      <c r="A221" s="1">
        <v>213</v>
      </c>
      <c r="B221" s="1" t="s">
        <v>320</v>
      </c>
      <c r="C221" s="1">
        <v>8.1</v>
      </c>
      <c r="D221" s="1">
        <f t="shared" si="3"/>
        <v>7500</v>
      </c>
      <c r="E221" s="1">
        <v>1954</v>
      </c>
      <c r="F221" s="1">
        <v>20</v>
      </c>
      <c r="G221" s="1" t="s">
        <v>168</v>
      </c>
      <c r="H221" s="1">
        <v>108</v>
      </c>
      <c r="I221" s="1" t="s">
        <v>374</v>
      </c>
      <c r="J221" s="1" t="s">
        <v>13</v>
      </c>
      <c r="P221" s="1">
        <v>982000</v>
      </c>
    </row>
    <row r="222" spans="1:16" x14ac:dyDescent="0.25">
      <c r="A222" s="1">
        <v>214</v>
      </c>
      <c r="B222" s="1" t="s">
        <v>321</v>
      </c>
      <c r="C222" s="1">
        <v>8.1</v>
      </c>
      <c r="D222" s="1">
        <f t="shared" si="3"/>
        <v>98200</v>
      </c>
      <c r="E222" s="1">
        <v>1976</v>
      </c>
      <c r="F222" s="1">
        <v>20</v>
      </c>
      <c r="G222" s="1" t="s">
        <v>142</v>
      </c>
      <c r="H222" s="1">
        <v>120</v>
      </c>
      <c r="I222" s="1" t="s">
        <v>374</v>
      </c>
      <c r="J222" s="1" t="s">
        <v>32</v>
      </c>
      <c r="P222" s="1">
        <v>218000</v>
      </c>
    </row>
    <row r="223" spans="1:16" x14ac:dyDescent="0.25">
      <c r="A223" s="1">
        <v>215</v>
      </c>
      <c r="B223" s="1" t="s">
        <v>322</v>
      </c>
      <c r="C223" s="1">
        <v>8.1</v>
      </c>
      <c r="D223" s="1">
        <f t="shared" si="3"/>
        <v>21800</v>
      </c>
      <c r="E223" s="1">
        <v>1957</v>
      </c>
      <c r="F223" s="1">
        <v>20</v>
      </c>
      <c r="G223" s="1" t="s">
        <v>304</v>
      </c>
      <c r="H223" s="1">
        <v>92</v>
      </c>
      <c r="I223" s="1" t="s">
        <v>376</v>
      </c>
      <c r="J223" s="1" t="s">
        <v>49</v>
      </c>
      <c r="P223" s="1">
        <v>903000</v>
      </c>
    </row>
    <row r="224" spans="1:16" x14ac:dyDescent="0.25">
      <c r="A224" s="1">
        <v>216</v>
      </c>
      <c r="B224" s="1" t="s">
        <v>323</v>
      </c>
      <c r="C224" s="1">
        <v>8.1</v>
      </c>
      <c r="D224" s="1">
        <f t="shared" si="3"/>
        <v>90300</v>
      </c>
      <c r="E224" s="1">
        <v>1953</v>
      </c>
      <c r="F224" s="1">
        <v>20</v>
      </c>
      <c r="G224" s="1" t="s">
        <v>57</v>
      </c>
      <c r="H224" s="1">
        <v>137</v>
      </c>
      <c r="I224" s="1" t="s">
        <v>374</v>
      </c>
      <c r="J224" s="1" t="s">
        <v>49</v>
      </c>
      <c r="P224" s="1">
        <v>230000</v>
      </c>
    </row>
    <row r="225" spans="1:16" x14ac:dyDescent="0.25">
      <c r="A225" s="1">
        <v>217</v>
      </c>
      <c r="B225" s="1" t="s">
        <v>324</v>
      </c>
      <c r="C225" s="1">
        <v>8.1</v>
      </c>
      <c r="D225" s="1">
        <f t="shared" si="3"/>
        <v>23000</v>
      </c>
      <c r="E225" s="1">
        <v>1949</v>
      </c>
      <c r="F225" s="1">
        <v>20</v>
      </c>
      <c r="G225" s="1" t="s">
        <v>325</v>
      </c>
      <c r="H225" s="1">
        <v>104</v>
      </c>
      <c r="I225" s="1" t="s">
        <v>374</v>
      </c>
      <c r="J225" s="1" t="s">
        <v>13</v>
      </c>
      <c r="P225" s="1">
        <v>212000</v>
      </c>
    </row>
    <row r="226" spans="1:16" x14ac:dyDescent="0.25">
      <c r="A226" s="1">
        <v>218</v>
      </c>
      <c r="B226" s="1" t="s">
        <v>326</v>
      </c>
      <c r="C226" s="1">
        <v>8.1</v>
      </c>
      <c r="D226" s="1">
        <f t="shared" si="3"/>
        <v>21200</v>
      </c>
      <c r="E226" s="1">
        <v>2003</v>
      </c>
      <c r="F226" s="1">
        <v>21</v>
      </c>
      <c r="G226" s="1" t="s">
        <v>130</v>
      </c>
      <c r="H226" s="1">
        <v>143</v>
      </c>
      <c r="I226" s="1" t="s">
        <v>374</v>
      </c>
      <c r="J226" s="1" t="s">
        <v>8</v>
      </c>
      <c r="P226" s="1">
        <v>474000</v>
      </c>
    </row>
    <row r="227" spans="1:16" x14ac:dyDescent="0.25">
      <c r="A227" s="1">
        <v>219</v>
      </c>
      <c r="B227" s="1" t="s">
        <v>327</v>
      </c>
      <c r="C227" s="1">
        <v>8.1</v>
      </c>
      <c r="D227" s="1">
        <f t="shared" si="3"/>
        <v>47400</v>
      </c>
      <c r="E227" s="1">
        <v>2015</v>
      </c>
      <c r="F227" s="1">
        <v>21</v>
      </c>
      <c r="G227" s="1" t="s">
        <v>194</v>
      </c>
      <c r="H227" s="1">
        <v>129</v>
      </c>
      <c r="I227" s="1" t="s">
        <v>374</v>
      </c>
      <c r="J227" s="1" t="s">
        <v>3</v>
      </c>
      <c r="P227" s="1">
        <v>283000</v>
      </c>
    </row>
    <row r="228" spans="1:16" x14ac:dyDescent="0.25">
      <c r="A228" s="1">
        <v>221</v>
      </c>
      <c r="B228" s="1" t="s">
        <v>329</v>
      </c>
      <c r="C228" s="1">
        <v>8.1</v>
      </c>
      <c r="D228" s="1">
        <f t="shared" si="3"/>
        <v>28300</v>
      </c>
      <c r="E228" s="1">
        <v>1984</v>
      </c>
      <c r="F228" s="1">
        <v>20</v>
      </c>
      <c r="G228" s="1" t="s">
        <v>179</v>
      </c>
      <c r="H228" s="1">
        <v>107</v>
      </c>
      <c r="I228" s="1" t="s">
        <v>374</v>
      </c>
      <c r="J228" s="1" t="s">
        <v>3</v>
      </c>
      <c r="P228" s="1">
        <v>388000</v>
      </c>
    </row>
    <row r="229" spans="1:16" x14ac:dyDescent="0.25">
      <c r="A229" s="1">
        <v>222</v>
      </c>
      <c r="B229" s="1" t="s">
        <v>330</v>
      </c>
      <c r="C229" s="1">
        <v>8.1</v>
      </c>
      <c r="D229" s="1">
        <f t="shared" si="3"/>
        <v>38800</v>
      </c>
      <c r="E229" s="1">
        <v>1995</v>
      </c>
      <c r="F229" s="1">
        <v>20</v>
      </c>
      <c r="G229" s="1" t="s">
        <v>106</v>
      </c>
      <c r="H229" s="1">
        <v>98</v>
      </c>
      <c r="I229" s="1" t="s">
        <v>376</v>
      </c>
      <c r="J229" s="1" t="s">
        <v>49</v>
      </c>
      <c r="P229" s="1">
        <v>76000</v>
      </c>
    </row>
    <row r="230" spans="1:16" x14ac:dyDescent="0.25">
      <c r="A230" s="1">
        <v>223</v>
      </c>
      <c r="B230" s="1" t="s">
        <v>331</v>
      </c>
      <c r="C230" s="1">
        <v>8.1</v>
      </c>
      <c r="D230" s="1">
        <f t="shared" si="3"/>
        <v>7600</v>
      </c>
      <c r="E230" s="1">
        <v>1998</v>
      </c>
      <c r="F230" s="1">
        <v>20</v>
      </c>
      <c r="G230" s="1" t="s">
        <v>94</v>
      </c>
      <c r="H230" s="1">
        <v>117</v>
      </c>
      <c r="I230" s="1" t="s">
        <v>374</v>
      </c>
      <c r="J230" s="1" t="s">
        <v>3</v>
      </c>
      <c r="P230" s="1">
        <v>463000</v>
      </c>
    </row>
    <row r="231" spans="1:16" x14ac:dyDescent="0.25">
      <c r="A231" s="1">
        <v>225</v>
      </c>
      <c r="B231" s="1" t="s">
        <v>333</v>
      </c>
      <c r="C231" s="1">
        <v>8.1</v>
      </c>
      <c r="D231" s="1">
        <f t="shared" si="3"/>
        <v>46300</v>
      </c>
      <c r="E231" s="1">
        <v>1957</v>
      </c>
      <c r="F231" s="1">
        <v>20</v>
      </c>
      <c r="G231" s="1" t="s">
        <v>12</v>
      </c>
      <c r="H231" s="1">
        <v>96</v>
      </c>
      <c r="I231" s="1" t="s">
        <v>376</v>
      </c>
      <c r="J231" s="1" t="s">
        <v>49</v>
      </c>
      <c r="P231" s="1">
        <v>308000</v>
      </c>
    </row>
    <row r="232" spans="1:16" x14ac:dyDescent="0.25">
      <c r="A232" s="1">
        <v>226</v>
      </c>
      <c r="B232" s="1" t="s">
        <v>334</v>
      </c>
      <c r="C232" s="1">
        <v>8.1</v>
      </c>
      <c r="D232" s="1">
        <f t="shared" si="3"/>
        <v>30800</v>
      </c>
      <c r="E232" s="1">
        <v>2015</v>
      </c>
      <c r="F232" s="1">
        <v>21</v>
      </c>
      <c r="G232" s="1" t="s">
        <v>46</v>
      </c>
      <c r="H232" s="1">
        <v>118</v>
      </c>
      <c r="I232" s="1" t="s">
        <v>374</v>
      </c>
      <c r="J232" s="1" t="s">
        <v>3</v>
      </c>
      <c r="P232" s="1">
        <v>877000</v>
      </c>
    </row>
    <row r="233" spans="1:16" x14ac:dyDescent="0.25">
      <c r="A233" s="1">
        <v>227</v>
      </c>
      <c r="B233" s="1" t="s">
        <v>335</v>
      </c>
      <c r="C233" s="1">
        <v>8.1</v>
      </c>
      <c r="D233" s="1">
        <f t="shared" si="3"/>
        <v>87700</v>
      </c>
      <c r="E233" s="1">
        <v>1965</v>
      </c>
      <c r="F233" s="1">
        <v>20</v>
      </c>
      <c r="G233" s="1" t="s">
        <v>89</v>
      </c>
      <c r="H233" s="1">
        <v>174</v>
      </c>
      <c r="I233" s="1" t="s">
        <v>375</v>
      </c>
      <c r="J233" s="1" t="s">
        <v>72</v>
      </c>
      <c r="P233" s="1">
        <v>488000</v>
      </c>
    </row>
    <row r="234" spans="1:16" x14ac:dyDescent="0.25">
      <c r="A234" s="1">
        <v>228</v>
      </c>
      <c r="B234" s="1" t="s">
        <v>336</v>
      </c>
      <c r="C234" s="1">
        <v>8.1</v>
      </c>
      <c r="D234" s="1">
        <f t="shared" si="3"/>
        <v>48800</v>
      </c>
      <c r="E234" s="1">
        <v>2004</v>
      </c>
      <c r="F234" s="1">
        <v>21</v>
      </c>
      <c r="G234" s="1" t="s">
        <v>59</v>
      </c>
      <c r="H234" s="1">
        <v>121</v>
      </c>
      <c r="I234" s="1" t="s">
        <v>374</v>
      </c>
      <c r="J234" s="1" t="s">
        <v>8</v>
      </c>
      <c r="P234" s="1">
        <v>130000</v>
      </c>
    </row>
    <row r="235" spans="1:16" x14ac:dyDescent="0.25">
      <c r="A235" s="1">
        <v>229</v>
      </c>
      <c r="B235" s="1" t="s">
        <v>337</v>
      </c>
      <c r="C235" s="1">
        <v>8.1</v>
      </c>
      <c r="D235" s="1">
        <f t="shared" si="3"/>
        <v>13000</v>
      </c>
      <c r="E235" s="1">
        <v>1946</v>
      </c>
      <c r="F235" s="1">
        <v>20</v>
      </c>
      <c r="G235" s="1" t="s">
        <v>152</v>
      </c>
      <c r="H235" s="1">
        <v>170</v>
      </c>
      <c r="I235" s="1" t="s">
        <v>375</v>
      </c>
      <c r="J235" s="1" t="s">
        <v>13</v>
      </c>
      <c r="P235" s="1">
        <v>335000</v>
      </c>
    </row>
    <row r="236" spans="1:16" x14ac:dyDescent="0.25">
      <c r="A236" s="1">
        <v>230</v>
      </c>
      <c r="B236" s="1" t="s">
        <v>338</v>
      </c>
      <c r="C236" s="1">
        <v>8.1</v>
      </c>
      <c r="D236" s="1">
        <f t="shared" si="3"/>
        <v>33500</v>
      </c>
      <c r="E236" s="1">
        <v>1986</v>
      </c>
      <c r="F236" s="1">
        <v>20</v>
      </c>
      <c r="G236" s="1" t="s">
        <v>142</v>
      </c>
      <c r="H236" s="1">
        <v>120</v>
      </c>
      <c r="I236" s="1" t="s">
        <v>374</v>
      </c>
      <c r="J236" s="1" t="s">
        <v>3</v>
      </c>
      <c r="P236" s="1">
        <v>547000</v>
      </c>
    </row>
    <row r="237" spans="1:16" x14ac:dyDescent="0.25">
      <c r="A237" s="1">
        <v>231</v>
      </c>
      <c r="B237" s="1" t="s">
        <v>339</v>
      </c>
      <c r="C237" s="1">
        <v>8.1</v>
      </c>
      <c r="D237" s="1">
        <f t="shared" si="3"/>
        <v>54700</v>
      </c>
      <c r="E237" s="1">
        <v>2004</v>
      </c>
      <c r="F237" s="1">
        <v>21</v>
      </c>
      <c r="G237" s="1" t="s">
        <v>340</v>
      </c>
      <c r="H237" s="1">
        <v>80</v>
      </c>
      <c r="I237" s="1" t="s">
        <v>376</v>
      </c>
      <c r="J237" s="1" t="s">
        <v>3</v>
      </c>
      <c r="P237" s="1">
        <v>458000</v>
      </c>
    </row>
    <row r="238" spans="1:16" x14ac:dyDescent="0.25">
      <c r="A238" s="1">
        <v>233</v>
      </c>
      <c r="B238" s="1" t="s">
        <v>342</v>
      </c>
      <c r="C238" s="1">
        <v>8.1</v>
      </c>
      <c r="D238" s="1">
        <f t="shared" si="3"/>
        <v>45800</v>
      </c>
      <c r="E238" s="1">
        <v>1973</v>
      </c>
      <c r="F238" s="1">
        <v>20</v>
      </c>
      <c r="G238" s="1" t="s">
        <v>150</v>
      </c>
      <c r="H238" s="1">
        <v>122</v>
      </c>
      <c r="I238" s="1" t="s">
        <v>374</v>
      </c>
      <c r="J238" s="1" t="s">
        <v>3</v>
      </c>
      <c r="P238" s="1">
        <v>474000</v>
      </c>
    </row>
    <row r="239" spans="1:16" x14ac:dyDescent="0.25">
      <c r="A239" s="1">
        <v>235</v>
      </c>
      <c r="B239" s="1" t="s">
        <v>344</v>
      </c>
      <c r="C239" s="1">
        <v>8.1</v>
      </c>
      <c r="D239" s="1">
        <f t="shared" si="3"/>
        <v>47400</v>
      </c>
      <c r="E239" s="1">
        <v>2009</v>
      </c>
      <c r="F239" s="1">
        <v>21</v>
      </c>
      <c r="G239" s="1" t="s">
        <v>273</v>
      </c>
      <c r="H239" s="1">
        <v>93</v>
      </c>
      <c r="I239" s="1" t="s">
        <v>376</v>
      </c>
      <c r="J239" s="1" t="s">
        <v>72</v>
      </c>
      <c r="P239" s="1">
        <v>67000</v>
      </c>
    </row>
    <row r="240" spans="1:16" x14ac:dyDescent="0.25">
      <c r="A240" s="1">
        <v>236</v>
      </c>
      <c r="B240" s="1" t="s">
        <v>345</v>
      </c>
      <c r="C240" s="1">
        <v>8.1</v>
      </c>
      <c r="D240" s="1">
        <f t="shared" si="3"/>
        <v>6700</v>
      </c>
      <c r="E240" s="1">
        <v>2013</v>
      </c>
      <c r="F240" s="1">
        <v>21</v>
      </c>
      <c r="G240" s="1" t="s">
        <v>192</v>
      </c>
      <c r="H240" s="1">
        <v>123</v>
      </c>
      <c r="I240" s="1" t="s">
        <v>374</v>
      </c>
      <c r="J240" s="1" t="s">
        <v>3</v>
      </c>
      <c r="P240" s="1">
        <v>252000</v>
      </c>
    </row>
    <row r="241" spans="1:16" x14ac:dyDescent="0.25">
      <c r="A241" s="1">
        <v>237</v>
      </c>
      <c r="B241" s="1" t="s">
        <v>346</v>
      </c>
      <c r="C241" s="1">
        <v>8.1</v>
      </c>
      <c r="D241" s="1">
        <f t="shared" si="3"/>
        <v>25200</v>
      </c>
      <c r="E241" s="1">
        <v>1939</v>
      </c>
      <c r="F241" s="1">
        <v>20</v>
      </c>
      <c r="G241" s="1" t="s">
        <v>87</v>
      </c>
      <c r="H241" s="1">
        <v>102</v>
      </c>
      <c r="I241" s="1" t="s">
        <v>374</v>
      </c>
      <c r="J241" s="1" t="s">
        <v>72</v>
      </c>
      <c r="P241" s="1">
        <v>99000</v>
      </c>
    </row>
    <row r="242" spans="1:16" x14ac:dyDescent="0.25">
      <c r="A242" s="1">
        <v>238</v>
      </c>
      <c r="B242" s="1" t="s">
        <v>347</v>
      </c>
      <c r="C242" s="1">
        <v>8.1</v>
      </c>
      <c r="D242" s="1">
        <f t="shared" si="3"/>
        <v>9900</v>
      </c>
      <c r="E242" s="1">
        <v>1986</v>
      </c>
      <c r="F242" s="1">
        <v>20</v>
      </c>
      <c r="G242" s="1" t="s">
        <v>209</v>
      </c>
      <c r="H242" s="1">
        <v>89</v>
      </c>
      <c r="I242" s="1" t="s">
        <v>376</v>
      </c>
      <c r="J242" s="1" t="s">
        <v>3</v>
      </c>
      <c r="P242" s="1">
        <v>195000</v>
      </c>
    </row>
    <row r="243" spans="1:16" x14ac:dyDescent="0.25">
      <c r="A243" s="1">
        <v>239</v>
      </c>
      <c r="B243" s="1" t="s">
        <v>348</v>
      </c>
      <c r="C243" s="1">
        <v>8.1</v>
      </c>
      <c r="D243" s="1">
        <f t="shared" si="3"/>
        <v>19500</v>
      </c>
      <c r="E243" s="1">
        <v>1928</v>
      </c>
      <c r="F243" s="1">
        <v>20</v>
      </c>
      <c r="G243" s="1" t="s">
        <v>218</v>
      </c>
      <c r="H243" s="1">
        <v>114</v>
      </c>
      <c r="I243" s="1" t="s">
        <v>374</v>
      </c>
      <c r="J243" s="1" t="s">
        <v>183</v>
      </c>
      <c r="P243" s="1">
        <v>183000</v>
      </c>
    </row>
    <row r="244" spans="1:16" x14ac:dyDescent="0.25">
      <c r="A244" s="1">
        <v>240</v>
      </c>
      <c r="B244" s="1" t="s">
        <v>349</v>
      </c>
      <c r="C244" s="1">
        <v>8.1</v>
      </c>
      <c r="D244" s="1">
        <f t="shared" si="3"/>
        <v>18300</v>
      </c>
      <c r="E244" s="1">
        <v>1999</v>
      </c>
      <c r="F244" s="1">
        <v>20</v>
      </c>
      <c r="G244" s="1" t="s">
        <v>289</v>
      </c>
      <c r="H244" s="1">
        <v>86</v>
      </c>
      <c r="I244" s="1" t="s">
        <v>376</v>
      </c>
      <c r="J244" s="1" t="s">
        <v>32</v>
      </c>
      <c r="P244" s="1">
        <v>73000</v>
      </c>
    </row>
    <row r="245" spans="1:16" x14ac:dyDescent="0.25">
      <c r="A245" s="1">
        <v>242</v>
      </c>
      <c r="B245" s="1" t="s">
        <v>351</v>
      </c>
      <c r="C245" s="1">
        <v>8.1</v>
      </c>
      <c r="D245" s="1">
        <f t="shared" si="3"/>
        <v>7300</v>
      </c>
      <c r="E245" s="1">
        <v>2016</v>
      </c>
      <c r="F245" s="1">
        <v>21</v>
      </c>
      <c r="G245" s="1" t="s">
        <v>36</v>
      </c>
      <c r="H245" s="1">
        <v>145</v>
      </c>
      <c r="I245" s="1" t="s">
        <v>374</v>
      </c>
      <c r="J245" s="1" t="s">
        <v>49</v>
      </c>
      <c r="P245" s="1">
        <v>93000</v>
      </c>
    </row>
    <row r="246" spans="1:16" x14ac:dyDescent="0.25">
      <c r="A246" s="1">
        <v>243</v>
      </c>
      <c r="B246" s="1" t="s">
        <v>352</v>
      </c>
      <c r="C246" s="1">
        <v>8.1</v>
      </c>
      <c r="D246" s="1">
        <f t="shared" si="3"/>
        <v>9300</v>
      </c>
      <c r="E246" s="1">
        <v>1976</v>
      </c>
      <c r="F246" s="1">
        <v>20</v>
      </c>
      <c r="G246" s="1" t="s">
        <v>59</v>
      </c>
      <c r="H246" s="1">
        <v>121</v>
      </c>
      <c r="I246" s="1" t="s">
        <v>374</v>
      </c>
      <c r="J246" s="1" t="s">
        <v>3</v>
      </c>
      <c r="P246" s="1">
        <v>107000</v>
      </c>
    </row>
    <row r="247" spans="1:16" x14ac:dyDescent="0.25">
      <c r="A247" s="1">
        <v>244</v>
      </c>
      <c r="B247" s="1" t="s">
        <v>353</v>
      </c>
      <c r="C247" s="1">
        <v>8.1</v>
      </c>
      <c r="D247" s="1">
        <f t="shared" si="3"/>
        <v>10700</v>
      </c>
      <c r="E247" s="1">
        <v>1966</v>
      </c>
      <c r="F247" s="1">
        <v>20</v>
      </c>
      <c r="G247" s="1" t="s">
        <v>59</v>
      </c>
      <c r="H247" s="1">
        <v>121</v>
      </c>
      <c r="I247" s="1" t="s">
        <v>374</v>
      </c>
      <c r="J247" s="1" t="s">
        <v>49</v>
      </c>
      <c r="P247" s="1">
        <v>48000</v>
      </c>
    </row>
    <row r="248" spans="1:16" x14ac:dyDescent="0.25">
      <c r="A248" s="1">
        <v>246</v>
      </c>
      <c r="B248" s="1" t="s">
        <v>355</v>
      </c>
      <c r="C248" s="1">
        <v>8.1</v>
      </c>
      <c r="D248" s="1">
        <f t="shared" si="3"/>
        <v>4800</v>
      </c>
      <c r="E248" s="1">
        <v>1940</v>
      </c>
      <c r="F248" s="1">
        <v>20</v>
      </c>
      <c r="G248" s="1" t="s">
        <v>194</v>
      </c>
      <c r="H248" s="1">
        <v>129</v>
      </c>
      <c r="I248" s="1" t="s">
        <v>374</v>
      </c>
      <c r="J248" s="1" t="s">
        <v>13</v>
      </c>
      <c r="P248" s="1">
        <v>111000</v>
      </c>
    </row>
    <row r="249" spans="1:16" x14ac:dyDescent="0.25">
      <c r="A249" s="1">
        <v>247</v>
      </c>
      <c r="B249" s="1" t="s">
        <v>356</v>
      </c>
      <c r="C249" s="1">
        <v>8.1</v>
      </c>
      <c r="D249" s="1">
        <f t="shared" si="3"/>
        <v>11100</v>
      </c>
      <c r="E249" s="1">
        <v>1942</v>
      </c>
      <c r="F249" s="1">
        <v>20</v>
      </c>
      <c r="G249" s="1" t="s">
        <v>175</v>
      </c>
      <c r="H249" s="1">
        <v>99</v>
      </c>
      <c r="I249" s="1" t="s">
        <v>376</v>
      </c>
      <c r="J249" s="1" t="s">
        <v>13</v>
      </c>
      <c r="P249" s="1">
        <v>521000</v>
      </c>
    </row>
    <row r="250" spans="1:16" x14ac:dyDescent="0.25">
      <c r="A250" s="1">
        <v>249</v>
      </c>
      <c r="B250" s="1" t="s">
        <v>359</v>
      </c>
      <c r="C250" s="1">
        <v>8.1</v>
      </c>
      <c r="D250" s="1">
        <f t="shared" si="3"/>
        <v>52100</v>
      </c>
      <c r="E250" s="1">
        <v>2011</v>
      </c>
      <c r="F250" s="1">
        <v>21</v>
      </c>
      <c r="G250" s="1" t="s">
        <v>120</v>
      </c>
      <c r="H250" s="1">
        <v>146</v>
      </c>
      <c r="I250" s="1" t="s">
        <v>374</v>
      </c>
      <c r="J250" s="1" t="s">
        <v>8</v>
      </c>
      <c r="P250" s="1">
        <v>112000</v>
      </c>
    </row>
    <row r="251" spans="1:16" x14ac:dyDescent="0.25">
      <c r="A251" s="1">
        <v>232</v>
      </c>
      <c r="B251" s="1" t="s">
        <v>341</v>
      </c>
      <c r="C251" s="1">
        <v>8</v>
      </c>
      <c r="D251" s="1">
        <f t="shared" si="3"/>
        <v>11200</v>
      </c>
      <c r="E251" s="1">
        <v>2004</v>
      </c>
      <c r="F251" s="1">
        <v>21</v>
      </c>
      <c r="G251" s="1" t="s">
        <v>111</v>
      </c>
      <c r="H251" s="1">
        <v>115</v>
      </c>
      <c r="I251" s="1" t="s">
        <v>374</v>
      </c>
      <c r="J251" s="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5275-1CDD-4893-8F69-911430E53BA7}">
  <dimension ref="A2:L95"/>
  <sheetViews>
    <sheetView zoomScale="70" zoomScaleNormal="70" workbookViewId="0">
      <selection activeCell="C13" sqref="C13"/>
    </sheetView>
  </sheetViews>
  <sheetFormatPr defaultRowHeight="15" x14ac:dyDescent="0.25"/>
  <cols>
    <col min="1" max="1" width="26.140625" customWidth="1"/>
    <col min="2" max="2" width="17.85546875" bestFit="1" customWidth="1"/>
    <col min="3" max="3" width="20.28515625" bestFit="1" customWidth="1"/>
    <col min="4" max="4" width="38.7109375" bestFit="1" customWidth="1"/>
    <col min="5" max="5" width="26.85546875" bestFit="1" customWidth="1"/>
    <col min="6" max="6" width="20.28515625" bestFit="1" customWidth="1"/>
    <col min="7" max="7" width="24" bestFit="1" customWidth="1"/>
    <col min="8" max="8" width="21.5703125" bestFit="1" customWidth="1"/>
    <col min="9" max="9" width="38.7109375" bestFit="1" customWidth="1"/>
    <col min="10" max="10" width="5.28515625" customWidth="1"/>
    <col min="11" max="11" width="17.85546875" bestFit="1" customWidth="1"/>
    <col min="12" max="12" width="20.140625" bestFit="1" customWidth="1"/>
    <col min="13" max="19" width="5.140625" bestFit="1" customWidth="1"/>
    <col min="20" max="20" width="12.28515625" bestFit="1" customWidth="1"/>
    <col min="21" max="27" width="5.140625" bestFit="1" customWidth="1"/>
    <col min="28" max="28" width="12.28515625" bestFit="1" customWidth="1"/>
    <col min="29" max="47" width="5.140625" bestFit="1" customWidth="1"/>
    <col min="48" max="48" width="12.28515625" bestFit="1" customWidth="1"/>
    <col min="49" max="55" width="5.140625" bestFit="1" customWidth="1"/>
    <col min="56" max="57" width="12.28515625" bestFit="1" customWidth="1"/>
    <col min="58" max="59" width="5.140625" bestFit="1" customWidth="1"/>
    <col min="60" max="60" width="6.140625" bestFit="1" customWidth="1"/>
    <col min="61" max="64" width="5.140625" bestFit="1" customWidth="1"/>
    <col min="65" max="65" width="12.28515625" bestFit="1" customWidth="1"/>
    <col min="66" max="74" width="5.140625" bestFit="1" customWidth="1"/>
    <col min="75" max="77" width="12.28515625" bestFit="1" customWidth="1"/>
    <col min="78" max="79" width="5.140625" bestFit="1" customWidth="1"/>
    <col min="80" max="80" width="12.28515625" bestFit="1" customWidth="1"/>
    <col min="81" max="90" width="5.140625" bestFit="1" customWidth="1"/>
    <col min="91" max="92" width="12.28515625" bestFit="1" customWidth="1"/>
    <col min="93" max="97" width="5.140625" bestFit="1" customWidth="1"/>
    <col min="98" max="98" width="11.28515625" bestFit="1" customWidth="1"/>
    <col min="99" max="109" width="4.140625" bestFit="1" customWidth="1"/>
    <col min="110" max="110" width="11.28515625" bestFit="1" customWidth="1"/>
  </cols>
  <sheetData>
    <row r="2" spans="1:12" x14ac:dyDescent="0.25">
      <c r="B2" s="3">
        <f>GETPIVOTDATA("Rate",pivot!$B$3)</f>
        <v>9.3000000000000007</v>
      </c>
      <c r="C2" s="4">
        <f>GETPIVOTDATA("Rate",pivot!$C$3)</f>
        <v>8</v>
      </c>
      <c r="D2" s="3">
        <f>INT(GETPIVOTDATA("Movie_Duration(min)",pivot!$D$3))</f>
        <v>131</v>
      </c>
      <c r="E2" s="3">
        <f>GETPIVOTDATA("movie_Name",pivot!$E$3)</f>
        <v>250</v>
      </c>
      <c r="F2" s="3">
        <f>GETPIVOTDATA("Realse_Date",pivot!$F$3)</f>
        <v>2025</v>
      </c>
      <c r="G2" s="3">
        <f>GETPIVOTDATA("Realse_Date",pivot!$G$3)</f>
        <v>1921</v>
      </c>
      <c r="H2" s="5">
        <f>GETPIVOTDATA("Votes",pivot!$H$3)</f>
        <v>432295.6</v>
      </c>
    </row>
    <row r="3" spans="1:12" ht="21" x14ac:dyDescent="0.35">
      <c r="A3" s="2" t="s">
        <v>380</v>
      </c>
      <c r="B3" t="s">
        <v>372</v>
      </c>
      <c r="C3" t="s">
        <v>377</v>
      </c>
      <c r="D3" t="s">
        <v>370</v>
      </c>
      <c r="E3" t="s">
        <v>373</v>
      </c>
      <c r="F3" t="s">
        <v>371</v>
      </c>
      <c r="G3" t="s">
        <v>378</v>
      </c>
      <c r="H3" t="s">
        <v>379</v>
      </c>
    </row>
    <row r="4" spans="1:12" x14ac:dyDescent="0.25">
      <c r="B4" s="12">
        <v>9.3000000000000007</v>
      </c>
      <c r="C4" s="12">
        <v>8</v>
      </c>
      <c r="D4" s="12">
        <v>131.84399999999999</v>
      </c>
      <c r="E4" s="12">
        <v>250</v>
      </c>
      <c r="F4" s="12">
        <v>2025</v>
      </c>
      <c r="G4" s="12">
        <v>1921</v>
      </c>
      <c r="H4" s="12">
        <v>432295.6</v>
      </c>
    </row>
    <row r="8" spans="1:12" x14ac:dyDescent="0.25">
      <c r="B8" s="8" t="s">
        <v>381</v>
      </c>
      <c r="C8" t="s">
        <v>383</v>
      </c>
      <c r="E8" s="6" t="s">
        <v>0</v>
      </c>
      <c r="F8" s="6">
        <v>9.3000000000000007</v>
      </c>
      <c r="H8" s="8" t="s">
        <v>381</v>
      </c>
      <c r="I8" t="s">
        <v>370</v>
      </c>
      <c r="K8" s="8" t="s">
        <v>381</v>
      </c>
      <c r="L8" t="s">
        <v>384</v>
      </c>
    </row>
    <row r="9" spans="1:12" x14ac:dyDescent="0.25">
      <c r="B9" s="9">
        <v>20</v>
      </c>
      <c r="C9" s="12">
        <v>147</v>
      </c>
      <c r="E9" s="7" t="s">
        <v>4</v>
      </c>
      <c r="F9" s="7">
        <v>9.1999999999999993</v>
      </c>
      <c r="H9" s="9">
        <v>8</v>
      </c>
      <c r="I9" s="12">
        <v>115</v>
      </c>
      <c r="K9" s="9">
        <v>1921</v>
      </c>
      <c r="L9" s="12">
        <v>8.1999999999999993</v>
      </c>
    </row>
    <row r="10" spans="1:12" x14ac:dyDescent="0.25">
      <c r="B10" s="9">
        <v>21</v>
      </c>
      <c r="C10" s="12">
        <v>103</v>
      </c>
      <c r="E10" s="6" t="s">
        <v>6</v>
      </c>
      <c r="F10" s="6">
        <v>9.1</v>
      </c>
      <c r="H10" s="9">
        <v>8.1</v>
      </c>
      <c r="I10" s="12">
        <v>120.58333333333333</v>
      </c>
      <c r="K10" s="9">
        <v>1924</v>
      </c>
      <c r="L10" s="12">
        <v>8.1</v>
      </c>
    </row>
    <row r="11" spans="1:12" x14ac:dyDescent="0.25">
      <c r="B11" s="9" t="s">
        <v>382</v>
      </c>
      <c r="C11" s="12">
        <v>250</v>
      </c>
      <c r="E11" s="7" t="s">
        <v>9</v>
      </c>
      <c r="F11" s="7">
        <v>9</v>
      </c>
      <c r="H11" s="9">
        <v>8.1999999999999993</v>
      </c>
      <c r="I11" s="12">
        <v>130.75</v>
      </c>
      <c r="K11" s="9">
        <v>1925</v>
      </c>
      <c r="L11" s="12">
        <v>8.1</v>
      </c>
    </row>
    <row r="12" spans="1:12" x14ac:dyDescent="0.25">
      <c r="E12" s="6" t="s">
        <v>11</v>
      </c>
      <c r="F12" s="6">
        <v>9</v>
      </c>
      <c r="H12" s="9">
        <v>8.3000000000000007</v>
      </c>
      <c r="I12" s="12">
        <v>136.18421052631578</v>
      </c>
      <c r="K12" s="9">
        <v>1926</v>
      </c>
      <c r="L12" s="12">
        <v>8.1</v>
      </c>
    </row>
    <row r="13" spans="1:12" x14ac:dyDescent="0.25">
      <c r="E13" s="7" t="s">
        <v>14</v>
      </c>
      <c r="F13" s="7">
        <v>9</v>
      </c>
      <c r="H13" s="9">
        <v>8.4</v>
      </c>
      <c r="I13" s="12">
        <v>143.80000000000001</v>
      </c>
      <c r="K13" s="9">
        <v>1927</v>
      </c>
      <c r="L13" s="12">
        <v>8.3000000000000007</v>
      </c>
    </row>
    <row r="14" spans="1:12" x14ac:dyDescent="0.25">
      <c r="E14" s="6" t="s">
        <v>16</v>
      </c>
      <c r="F14" s="6">
        <v>9</v>
      </c>
      <c r="H14" s="9">
        <v>8.5</v>
      </c>
      <c r="I14" s="12">
        <v>124.04166666666667</v>
      </c>
      <c r="K14" s="9">
        <v>1928</v>
      </c>
      <c r="L14" s="12">
        <v>8.1</v>
      </c>
    </row>
    <row r="15" spans="1:12" x14ac:dyDescent="0.25">
      <c r="E15" s="7" t="s">
        <v>18</v>
      </c>
      <c r="F15" s="7">
        <v>8.9</v>
      </c>
      <c r="H15" s="9">
        <v>8.6</v>
      </c>
      <c r="I15" s="12">
        <v>140</v>
      </c>
      <c r="K15" s="9">
        <v>1931</v>
      </c>
      <c r="L15" s="12">
        <v>8.4</v>
      </c>
    </row>
    <row r="16" spans="1:12" x14ac:dyDescent="0.25">
      <c r="E16" s="6" t="s">
        <v>20</v>
      </c>
      <c r="F16" s="6">
        <v>8.8000000000000007</v>
      </c>
      <c r="H16" s="9">
        <v>8.6999999999999993</v>
      </c>
      <c r="I16" s="12">
        <v>142.33333333333334</v>
      </c>
      <c r="K16" s="9">
        <v>1936</v>
      </c>
      <c r="L16" s="12">
        <v>8.5</v>
      </c>
    </row>
    <row r="17" spans="2:12" x14ac:dyDescent="0.25">
      <c r="E17" s="7" t="s">
        <v>22</v>
      </c>
      <c r="F17" s="7">
        <v>8.8000000000000007</v>
      </c>
      <c r="H17" s="9">
        <v>8.8000000000000007</v>
      </c>
      <c r="I17" s="12">
        <v>156.66666666666666</v>
      </c>
      <c r="K17" s="9">
        <v>1939</v>
      </c>
      <c r="L17" s="12">
        <v>8.1333333333333329</v>
      </c>
    </row>
    <row r="18" spans="2:12" x14ac:dyDescent="0.25">
      <c r="H18" s="9">
        <v>8.9</v>
      </c>
      <c r="I18" s="12">
        <v>178</v>
      </c>
      <c r="K18" s="9">
        <v>1940</v>
      </c>
      <c r="L18" s="12">
        <v>8.25</v>
      </c>
    </row>
    <row r="19" spans="2:12" x14ac:dyDescent="0.25">
      <c r="H19" s="9">
        <v>9</v>
      </c>
      <c r="I19" s="12">
        <v>173.5</v>
      </c>
      <c r="K19" s="9">
        <v>1941</v>
      </c>
      <c r="L19" s="12">
        <v>8.1999999999999993</v>
      </c>
    </row>
    <row r="20" spans="2:12" x14ac:dyDescent="0.25">
      <c r="H20" s="9">
        <v>9.1</v>
      </c>
      <c r="I20" s="12">
        <v>152</v>
      </c>
      <c r="K20" s="9">
        <v>1942</v>
      </c>
      <c r="L20" s="12">
        <v>8.3000000000000007</v>
      </c>
    </row>
    <row r="21" spans="2:12" x14ac:dyDescent="0.25">
      <c r="H21" s="9">
        <v>9.1999999999999993</v>
      </c>
      <c r="I21" s="12">
        <v>175</v>
      </c>
      <c r="K21" s="9">
        <v>1944</v>
      </c>
      <c r="L21" s="12">
        <v>8.3000000000000007</v>
      </c>
    </row>
    <row r="22" spans="2:12" x14ac:dyDescent="0.25">
      <c r="H22" s="9">
        <v>9.3000000000000007</v>
      </c>
      <c r="I22" s="12">
        <v>142</v>
      </c>
      <c r="K22" s="9">
        <v>1946</v>
      </c>
      <c r="L22" s="12">
        <v>8.35</v>
      </c>
    </row>
    <row r="23" spans="2:12" x14ac:dyDescent="0.25">
      <c r="H23" s="9" t="s">
        <v>382</v>
      </c>
      <c r="I23" s="12">
        <v>131.84399999999999</v>
      </c>
      <c r="K23" s="9">
        <v>1948</v>
      </c>
      <c r="L23" s="12">
        <v>8.1999999999999993</v>
      </c>
    </row>
    <row r="24" spans="2:12" x14ac:dyDescent="0.25">
      <c r="K24" s="9">
        <v>1949</v>
      </c>
      <c r="L24" s="12">
        <v>8.1</v>
      </c>
    </row>
    <row r="25" spans="2:12" x14ac:dyDescent="0.25">
      <c r="B25" s="8" t="s">
        <v>381</v>
      </c>
      <c r="C25" t="s">
        <v>379</v>
      </c>
      <c r="E25" s="8" t="s">
        <v>381</v>
      </c>
      <c r="F25" t="s">
        <v>383</v>
      </c>
      <c r="K25" s="9">
        <v>1950</v>
      </c>
      <c r="L25" s="12">
        <v>8.2333333333333343</v>
      </c>
    </row>
    <row r="26" spans="2:12" x14ac:dyDescent="0.25">
      <c r="B26" s="9">
        <v>8</v>
      </c>
      <c r="C26" s="12">
        <v>11200</v>
      </c>
      <c r="E26" s="9" t="s">
        <v>13</v>
      </c>
      <c r="F26" s="12">
        <v>22</v>
      </c>
      <c r="K26" s="9">
        <v>1952</v>
      </c>
      <c r="L26" s="12">
        <v>8.3000000000000007</v>
      </c>
    </row>
    <row r="27" spans="2:12" x14ac:dyDescent="0.25">
      <c r="B27" s="9">
        <v>8.1</v>
      </c>
      <c r="C27" s="12">
        <v>88650</v>
      </c>
      <c r="E27" s="9" t="s">
        <v>72</v>
      </c>
      <c r="F27" s="12">
        <v>18</v>
      </c>
      <c r="K27" s="9">
        <v>1953</v>
      </c>
      <c r="L27" s="12">
        <v>8.1</v>
      </c>
    </row>
    <row r="28" spans="2:12" x14ac:dyDescent="0.25">
      <c r="B28" s="9">
        <v>8.1999999999999993</v>
      </c>
      <c r="C28" s="12">
        <v>294832.14285714284</v>
      </c>
      <c r="E28" s="9" t="s">
        <v>161</v>
      </c>
      <c r="F28" s="12">
        <v>1</v>
      </c>
      <c r="K28" s="9">
        <v>1954</v>
      </c>
      <c r="L28" s="12">
        <v>8.35</v>
      </c>
    </row>
    <row r="29" spans="2:12" x14ac:dyDescent="0.25">
      <c r="B29" s="9">
        <v>8.3000000000000007</v>
      </c>
      <c r="C29" s="12">
        <v>245392.10526315789</v>
      </c>
      <c r="E29" s="9" t="s">
        <v>49</v>
      </c>
      <c r="F29" s="12">
        <v>24</v>
      </c>
      <c r="K29" s="9">
        <v>1957</v>
      </c>
      <c r="L29" s="12">
        <v>8.35</v>
      </c>
    </row>
    <row r="30" spans="2:12" x14ac:dyDescent="0.25">
      <c r="B30" s="9">
        <v>8.4</v>
      </c>
      <c r="C30" s="12">
        <v>506504</v>
      </c>
      <c r="E30" s="9" t="s">
        <v>183</v>
      </c>
      <c r="F30" s="12">
        <v>5</v>
      </c>
      <c r="K30" s="9">
        <v>1958</v>
      </c>
      <c r="L30" s="12">
        <v>8.1999999999999993</v>
      </c>
    </row>
    <row r="31" spans="2:12" x14ac:dyDescent="0.25">
      <c r="B31" s="9">
        <v>8.5</v>
      </c>
      <c r="C31" s="12">
        <v>593741.66666666663</v>
      </c>
      <c r="E31" s="9" t="s">
        <v>32</v>
      </c>
      <c r="F31" s="12">
        <v>37</v>
      </c>
      <c r="K31" s="9">
        <v>1959</v>
      </c>
      <c r="L31" s="12">
        <v>8.2000000000000011</v>
      </c>
    </row>
    <row r="32" spans="2:12" x14ac:dyDescent="0.25">
      <c r="B32" s="9">
        <v>8.6</v>
      </c>
      <c r="C32" s="12">
        <v>882114.28571428568</v>
      </c>
      <c r="E32" s="9" t="s">
        <v>8</v>
      </c>
      <c r="F32" s="12">
        <v>35</v>
      </c>
      <c r="K32" s="9">
        <v>1960</v>
      </c>
      <c r="L32" s="12">
        <v>8.4</v>
      </c>
    </row>
    <row r="33" spans="2:12" x14ac:dyDescent="0.25">
      <c r="B33" s="9">
        <v>8.6999999999999993</v>
      </c>
      <c r="C33" s="12">
        <v>1466666.6666666667</v>
      </c>
      <c r="E33" s="9" t="s">
        <v>3</v>
      </c>
      <c r="F33" s="12">
        <v>103</v>
      </c>
      <c r="K33" s="9">
        <v>1961</v>
      </c>
      <c r="L33" s="12">
        <v>8.25</v>
      </c>
    </row>
    <row r="34" spans="2:12" x14ac:dyDescent="0.25">
      <c r="B34" s="9">
        <v>8.8000000000000007</v>
      </c>
      <c r="C34" s="12">
        <v>1997850</v>
      </c>
      <c r="E34" s="9" t="s">
        <v>385</v>
      </c>
      <c r="F34" s="12">
        <v>5</v>
      </c>
      <c r="K34" s="9">
        <v>1962</v>
      </c>
      <c r="L34" s="12">
        <v>8.4</v>
      </c>
    </row>
    <row r="35" spans="2:12" x14ac:dyDescent="0.25">
      <c r="B35" s="9">
        <v>8.9</v>
      </c>
      <c r="C35" s="12">
        <v>2100000</v>
      </c>
      <c r="E35" s="9" t="s">
        <v>382</v>
      </c>
      <c r="F35" s="12">
        <v>250</v>
      </c>
      <c r="K35" s="9">
        <v>1963</v>
      </c>
      <c r="L35" s="12">
        <v>8.3000000000000007</v>
      </c>
    </row>
    <row r="36" spans="2:12" x14ac:dyDescent="0.25">
      <c r="B36" s="9">
        <v>9</v>
      </c>
      <c r="C36" s="12">
        <v>1323825</v>
      </c>
      <c r="K36" s="9">
        <v>1964</v>
      </c>
      <c r="L36" s="12">
        <v>8.3000000000000007</v>
      </c>
    </row>
    <row r="37" spans="2:12" x14ac:dyDescent="0.25">
      <c r="B37" s="9">
        <v>9.1</v>
      </c>
      <c r="C37" s="12">
        <v>3100000</v>
      </c>
      <c r="K37" s="9">
        <v>1965</v>
      </c>
      <c r="L37" s="12">
        <v>8.1499999999999986</v>
      </c>
    </row>
    <row r="38" spans="2:12" x14ac:dyDescent="0.25">
      <c r="B38" s="9">
        <v>9.1999999999999993</v>
      </c>
      <c r="C38" s="12">
        <v>2200000</v>
      </c>
      <c r="K38" s="9">
        <v>1966</v>
      </c>
      <c r="L38" s="12">
        <v>8.4499999999999993</v>
      </c>
    </row>
    <row r="39" spans="2:12" x14ac:dyDescent="0.25">
      <c r="B39" s="9">
        <v>9.3000000000000007</v>
      </c>
      <c r="C39" s="12">
        <v>3100000</v>
      </c>
      <c r="K39" s="9">
        <v>1968</v>
      </c>
      <c r="L39" s="12">
        <v>8.4</v>
      </c>
    </row>
    <row r="40" spans="2:12" x14ac:dyDescent="0.25">
      <c r="B40" s="9" t="s">
        <v>382</v>
      </c>
      <c r="C40" s="12">
        <v>432295.6</v>
      </c>
      <c r="K40" s="9">
        <v>1971</v>
      </c>
      <c r="L40" s="12">
        <v>8.1999999999999993</v>
      </c>
    </row>
    <row r="41" spans="2:12" x14ac:dyDescent="0.25">
      <c r="K41" s="9">
        <v>1972</v>
      </c>
      <c r="L41" s="12">
        <v>9.1999999999999993</v>
      </c>
    </row>
    <row r="42" spans="2:12" x14ac:dyDescent="0.25">
      <c r="K42" s="9">
        <v>1973</v>
      </c>
      <c r="L42" s="12">
        <v>8.1499999999999986</v>
      </c>
    </row>
    <row r="43" spans="2:12" x14ac:dyDescent="0.25">
      <c r="B43" s="8" t="s">
        <v>381</v>
      </c>
      <c r="K43" s="9">
        <v>1974</v>
      </c>
      <c r="L43" s="12">
        <v>8.5500000000000007</v>
      </c>
    </row>
    <row r="44" spans="2:12" x14ac:dyDescent="0.25">
      <c r="B44" s="9" t="s">
        <v>375</v>
      </c>
      <c r="K44" s="9">
        <v>1975</v>
      </c>
      <c r="L44" s="12">
        <v>8.34</v>
      </c>
    </row>
    <row r="45" spans="2:12" x14ac:dyDescent="0.25">
      <c r="B45" s="9" t="s">
        <v>374</v>
      </c>
      <c r="K45" s="9">
        <v>1976</v>
      </c>
      <c r="L45" s="12">
        <v>8.1333333333333329</v>
      </c>
    </row>
    <row r="46" spans="2:12" x14ac:dyDescent="0.25">
      <c r="B46" s="9" t="s">
        <v>376</v>
      </c>
      <c r="K46" s="9">
        <v>1977</v>
      </c>
      <c r="L46" s="12">
        <v>8.6</v>
      </c>
    </row>
    <row r="47" spans="2:12" x14ac:dyDescent="0.25">
      <c r="B47" s="9" t="s">
        <v>382</v>
      </c>
      <c r="K47" s="9">
        <v>1978</v>
      </c>
      <c r="L47" s="12">
        <v>8.1</v>
      </c>
    </row>
    <row r="48" spans="2:12" x14ac:dyDescent="0.25">
      <c r="K48" s="9">
        <v>1979</v>
      </c>
      <c r="L48" s="12">
        <v>8.4499999999999993</v>
      </c>
    </row>
    <row r="49" spans="11:12" x14ac:dyDescent="0.25">
      <c r="K49" s="9">
        <v>1980</v>
      </c>
      <c r="L49" s="12">
        <v>8.35</v>
      </c>
    </row>
    <row r="50" spans="11:12" x14ac:dyDescent="0.25">
      <c r="K50" s="9">
        <v>1981</v>
      </c>
      <c r="L50" s="12">
        <v>8.4</v>
      </c>
    </row>
    <row r="51" spans="11:12" x14ac:dyDescent="0.25">
      <c r="K51" s="9">
        <v>1982</v>
      </c>
      <c r="L51" s="12">
        <v>8.1499999999999986</v>
      </c>
    </row>
    <row r="52" spans="11:12" x14ac:dyDescent="0.25">
      <c r="K52" s="9">
        <v>1983</v>
      </c>
      <c r="L52" s="12">
        <v>8.3000000000000007</v>
      </c>
    </row>
    <row r="53" spans="11:12" x14ac:dyDescent="0.25">
      <c r="K53" s="9">
        <v>1984</v>
      </c>
      <c r="L53" s="12">
        <v>8.2666666666666675</v>
      </c>
    </row>
    <row r="54" spans="11:12" x14ac:dyDescent="0.25">
      <c r="K54" s="9">
        <v>1985</v>
      </c>
      <c r="L54" s="12">
        <v>8.3333333333333339</v>
      </c>
    </row>
    <row r="55" spans="11:12" x14ac:dyDescent="0.25">
      <c r="K55" s="9">
        <v>1986</v>
      </c>
      <c r="L55" s="12">
        <v>8.2000000000000011</v>
      </c>
    </row>
    <row r="56" spans="11:12" x14ac:dyDescent="0.25">
      <c r="K56" s="9">
        <v>1987</v>
      </c>
      <c r="L56" s="12">
        <v>8.1999999999999993</v>
      </c>
    </row>
    <row r="57" spans="11:12" x14ac:dyDescent="0.25">
      <c r="K57" s="9">
        <v>1988</v>
      </c>
      <c r="L57" s="12">
        <v>8.3249999999999993</v>
      </c>
    </row>
    <row r="58" spans="11:12" x14ac:dyDescent="0.25">
      <c r="K58" s="9">
        <v>1989</v>
      </c>
      <c r="L58" s="12">
        <v>8.1499999999999986</v>
      </c>
    </row>
    <row r="59" spans="11:12" x14ac:dyDescent="0.25">
      <c r="K59" s="9">
        <v>1990</v>
      </c>
      <c r="L59" s="12">
        <v>8.6999999999999993</v>
      </c>
    </row>
    <row r="60" spans="11:12" x14ac:dyDescent="0.25">
      <c r="K60" s="9">
        <v>1991</v>
      </c>
      <c r="L60" s="12">
        <v>8.6</v>
      </c>
    </row>
    <row r="61" spans="11:12" x14ac:dyDescent="0.25">
      <c r="K61" s="9">
        <v>1992</v>
      </c>
      <c r="L61" s="12">
        <v>8.25</v>
      </c>
    </row>
    <row r="62" spans="11:12" x14ac:dyDescent="0.25">
      <c r="K62" s="9">
        <v>1993</v>
      </c>
      <c r="L62" s="12">
        <v>8.4333333333333318</v>
      </c>
    </row>
    <row r="63" spans="11:12" x14ac:dyDescent="0.25">
      <c r="K63" s="9">
        <v>1994</v>
      </c>
      <c r="L63" s="12">
        <v>8.7800000000000011</v>
      </c>
    </row>
    <row r="64" spans="11:12" x14ac:dyDescent="0.25">
      <c r="K64" s="9">
        <v>1995</v>
      </c>
      <c r="L64" s="12">
        <v>8.3000000000000007</v>
      </c>
    </row>
    <row r="65" spans="11:12" x14ac:dyDescent="0.25">
      <c r="K65" s="9">
        <v>1996</v>
      </c>
      <c r="L65" s="12">
        <v>8.1</v>
      </c>
    </row>
    <row r="66" spans="11:12" x14ac:dyDescent="0.25">
      <c r="K66" s="9">
        <v>1997</v>
      </c>
      <c r="L66" s="12">
        <v>8.3199999999999985</v>
      </c>
    </row>
    <row r="67" spans="11:12" x14ac:dyDescent="0.25">
      <c r="K67" s="9">
        <v>1998</v>
      </c>
      <c r="L67" s="12">
        <v>8.3000000000000007</v>
      </c>
    </row>
    <row r="68" spans="11:12" x14ac:dyDescent="0.25">
      <c r="K68" s="9">
        <v>1999</v>
      </c>
      <c r="L68" s="12">
        <v>8.4500000000000011</v>
      </c>
    </row>
    <row r="69" spans="11:12" x14ac:dyDescent="0.25">
      <c r="K69" s="9">
        <v>2000</v>
      </c>
      <c r="L69" s="12">
        <v>8.35</v>
      </c>
    </row>
    <row r="70" spans="11:12" x14ac:dyDescent="0.25">
      <c r="K70" s="9">
        <v>2001</v>
      </c>
      <c r="L70" s="12">
        <v>8.42</v>
      </c>
    </row>
    <row r="71" spans="11:12" x14ac:dyDescent="0.25">
      <c r="K71" s="9">
        <v>2002</v>
      </c>
      <c r="L71" s="12">
        <v>8.5</v>
      </c>
    </row>
    <row r="72" spans="11:12" x14ac:dyDescent="0.25">
      <c r="K72" s="9">
        <v>2003</v>
      </c>
      <c r="L72" s="12">
        <v>8.3285714285714274</v>
      </c>
    </row>
    <row r="73" spans="11:12" x14ac:dyDescent="0.25">
      <c r="K73" s="9">
        <v>2004</v>
      </c>
      <c r="L73" s="12">
        <v>8.1428571428571423</v>
      </c>
    </row>
    <row r="74" spans="11:12" x14ac:dyDescent="0.25">
      <c r="K74" s="9">
        <v>2005</v>
      </c>
      <c r="L74" s="12">
        <v>8.1666666666666661</v>
      </c>
    </row>
    <row r="75" spans="11:12" x14ac:dyDescent="0.25">
      <c r="K75" s="9">
        <v>2006</v>
      </c>
      <c r="L75" s="12">
        <v>8.3999999999999986</v>
      </c>
    </row>
    <row r="76" spans="11:12" x14ac:dyDescent="0.25">
      <c r="K76" s="9">
        <v>2007</v>
      </c>
      <c r="L76" s="12">
        <v>8.1999999999999993</v>
      </c>
    </row>
    <row r="77" spans="11:12" x14ac:dyDescent="0.25">
      <c r="K77" s="9">
        <v>2008</v>
      </c>
      <c r="L77" s="12">
        <v>8.5333333333333332</v>
      </c>
    </row>
    <row r="78" spans="11:12" x14ac:dyDescent="0.25">
      <c r="K78" s="9">
        <v>2009</v>
      </c>
      <c r="L78" s="12">
        <v>8.25</v>
      </c>
    </row>
    <row r="79" spans="11:12" x14ac:dyDescent="0.25">
      <c r="K79" s="9">
        <v>2010</v>
      </c>
      <c r="L79" s="12">
        <v>8.34</v>
      </c>
    </row>
    <row r="80" spans="11:12" x14ac:dyDescent="0.25">
      <c r="K80" s="9">
        <v>2011</v>
      </c>
      <c r="L80" s="12">
        <v>8.2200000000000006</v>
      </c>
    </row>
    <row r="81" spans="11:12" x14ac:dyDescent="0.25">
      <c r="K81" s="9">
        <v>2012</v>
      </c>
      <c r="L81" s="12">
        <v>8.35</v>
      </c>
    </row>
    <row r="82" spans="11:12" x14ac:dyDescent="0.25">
      <c r="K82" s="9">
        <v>2013</v>
      </c>
      <c r="L82" s="12">
        <v>8.15</v>
      </c>
    </row>
    <row r="83" spans="11:12" x14ac:dyDescent="0.25">
      <c r="K83" s="9">
        <v>2014</v>
      </c>
      <c r="L83" s="12">
        <v>8.3000000000000007</v>
      </c>
    </row>
    <row r="84" spans="11:12" x14ac:dyDescent="0.25">
      <c r="K84" s="9">
        <v>2015</v>
      </c>
      <c r="L84" s="12">
        <v>8.1</v>
      </c>
    </row>
    <row r="85" spans="11:12" x14ac:dyDescent="0.25">
      <c r="K85" s="9">
        <v>2016</v>
      </c>
      <c r="L85" s="12">
        <v>8.2200000000000006</v>
      </c>
    </row>
    <row r="86" spans="11:12" x14ac:dyDescent="0.25">
      <c r="K86" s="9">
        <v>2017</v>
      </c>
      <c r="L86" s="12">
        <v>8.2000000000000011</v>
      </c>
    </row>
    <row r="87" spans="11:12" x14ac:dyDescent="0.25">
      <c r="K87" s="9">
        <v>2018</v>
      </c>
      <c r="L87" s="12">
        <v>8.3200000000000021</v>
      </c>
    </row>
    <row r="88" spans="11:12" x14ac:dyDescent="0.25">
      <c r="K88" s="9">
        <v>2019</v>
      </c>
      <c r="L88" s="12">
        <v>8.2833333333333332</v>
      </c>
    </row>
    <row r="89" spans="11:12" x14ac:dyDescent="0.25">
      <c r="K89" s="9">
        <v>2020</v>
      </c>
      <c r="L89" s="12">
        <v>8.2333333333333325</v>
      </c>
    </row>
    <row r="90" spans="11:12" x14ac:dyDescent="0.25">
      <c r="K90" s="9">
        <v>2021</v>
      </c>
      <c r="L90" s="12">
        <v>8.3999999999999986</v>
      </c>
    </row>
    <row r="91" spans="11:12" x14ac:dyDescent="0.25">
      <c r="K91" s="9">
        <v>2022</v>
      </c>
      <c r="L91" s="12">
        <v>8.1999999999999993</v>
      </c>
    </row>
    <row r="92" spans="11:12" x14ac:dyDescent="0.25">
      <c r="K92" s="9">
        <v>2023</v>
      </c>
      <c r="L92" s="12">
        <v>8.5</v>
      </c>
    </row>
    <row r="93" spans="11:12" x14ac:dyDescent="0.25">
      <c r="K93" s="9">
        <v>2024</v>
      </c>
      <c r="L93" s="12">
        <v>8.3000000000000007</v>
      </c>
    </row>
    <row r="94" spans="11:12" x14ac:dyDescent="0.25">
      <c r="K94" s="9">
        <v>2025</v>
      </c>
      <c r="L94" s="12">
        <v>8.35</v>
      </c>
    </row>
    <row r="95" spans="11:12" x14ac:dyDescent="0.25">
      <c r="K95" s="9" t="s">
        <v>382</v>
      </c>
      <c r="L95" s="12">
        <v>8.3107999999999915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39B88-7A60-47FC-B89E-6CE51FAE587F}">
  <dimension ref="C1:O2"/>
  <sheetViews>
    <sheetView showGridLines="0" tabSelected="1" zoomScaleNormal="100" workbookViewId="0">
      <selection activeCell="S20" sqref="S20"/>
    </sheetView>
  </sheetViews>
  <sheetFormatPr defaultRowHeight="15" x14ac:dyDescent="0.25"/>
  <cols>
    <col min="1" max="1" width="8.7109375" style="3" customWidth="1"/>
    <col min="2" max="13" width="9.140625" style="3"/>
    <col min="14" max="14" width="11.5703125" style="3" customWidth="1"/>
    <col min="15" max="16384" width="9.140625" style="3"/>
  </cols>
  <sheetData>
    <row r="1" spans="3:15" x14ac:dyDescent="0.25">
      <c r="C1" s="10" t="s">
        <v>386</v>
      </c>
      <c r="D1" s="11"/>
      <c r="E1" s="11"/>
      <c r="F1" s="11"/>
      <c r="G1" s="11"/>
      <c r="H1" s="11"/>
      <c r="I1" s="11"/>
      <c r="J1" s="11"/>
      <c r="K1" s="11"/>
      <c r="L1" s="11"/>
      <c r="M1" s="11"/>
      <c r="N1" s="11"/>
      <c r="O1" s="11"/>
    </row>
    <row r="2" spans="3:15" x14ac:dyDescent="0.25">
      <c r="C2" s="11"/>
      <c r="D2" s="11"/>
      <c r="E2" s="11"/>
      <c r="F2" s="11"/>
      <c r="G2" s="11"/>
      <c r="H2" s="11"/>
      <c r="I2" s="11"/>
      <c r="J2" s="11"/>
      <c r="K2" s="11"/>
      <c r="L2" s="11"/>
      <c r="M2" s="11"/>
      <c r="N2" s="11"/>
      <c r="O2" s="11"/>
    </row>
  </sheetData>
  <mergeCells count="1">
    <mergeCell ref="C1:O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78325A-B198-466B-A048-5C93BDD0CB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movies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doaahilal93@gmail.com</dc:creator>
  <cp:lastModifiedBy>doaahilal93@gmail.com</cp:lastModifiedBy>
  <dcterms:created xsi:type="dcterms:W3CDTF">2025-10-23T20:24:06Z</dcterms:created>
  <dcterms:modified xsi:type="dcterms:W3CDTF">2025-10-30T15:59:22Z</dcterms:modified>
</cp:coreProperties>
</file>